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workbookProtection workbookPassword="9CB2" lockStructure="1"/>
  <bookViews>
    <workbookView xWindow="-120" yWindow="-120" windowWidth="24240" windowHeight="13020"/>
  </bookViews>
  <sheets>
    <sheet name="Assay" sheetId="2" r:id="rId1"/>
  </sheets>
  <definedNames>
    <definedName name="_xlnm.Print_Area" localSheetId="0">Assay!$A$1:$M$63</definedName>
    <definedName name="Z_512CFEC0_5D59_47F1_8978_F761BAD46E4D_.wvu.PrintArea" localSheetId="0" hidden="1">Assay!$B$4:$K$62</definedName>
  </definedNames>
  <calcPr calcId="162913"/>
  <customWorkbookViews>
    <customWorkbookView name="voza - Personal View" guid="{512CFEC0-5D59-47F1-8978-F761BAD46E4D}" mergeInterval="0" personalView="1" maximized="1" xWindow="1" yWindow="1" windowWidth="1360" windowHeight="52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2" l="1"/>
  <c r="I32" i="2" l="1"/>
  <c r="I31" i="2"/>
  <c r="H30" i="2"/>
  <c r="H31" i="2"/>
  <c r="H32" i="2"/>
  <c r="I30" i="2"/>
  <c r="I29" i="2"/>
  <c r="I28" i="2"/>
  <c r="H29" i="2"/>
  <c r="H28" i="2"/>
  <c r="H27" i="2"/>
  <c r="E32" i="2"/>
  <c r="E28" i="2"/>
  <c r="E29" i="2"/>
  <c r="E30" i="2"/>
  <c r="E31" i="2"/>
  <c r="E27" i="2"/>
  <c r="C40" i="2"/>
  <c r="B22" i="2"/>
  <c r="G26" i="2"/>
  <c r="D26" i="2"/>
  <c r="F26" i="2"/>
  <c r="C26" i="2"/>
  <c r="B19" i="2"/>
  <c r="C48" i="2"/>
  <c r="E48" i="2"/>
  <c r="G48" i="2"/>
  <c r="I48" i="2"/>
  <c r="J28" i="2" l="1"/>
  <c r="J30" i="2"/>
  <c r="J32" i="2"/>
  <c r="J31" i="2"/>
  <c r="J29" i="2"/>
  <c r="E33" i="2"/>
  <c r="I51" i="2"/>
  <c r="G52" i="2"/>
  <c r="E51" i="2"/>
  <c r="C51" i="2"/>
  <c r="I27" i="2"/>
  <c r="D33" i="2"/>
  <c r="C33" i="2"/>
  <c r="K20" i="2"/>
  <c r="K23" i="2"/>
  <c r="E52" i="2" l="1"/>
  <c r="C52" i="2"/>
  <c r="I52" i="2"/>
  <c r="J27" i="2"/>
  <c r="E34" i="2"/>
  <c r="C53" i="2" l="1"/>
  <c r="C54" i="2"/>
  <c r="I54" i="2"/>
  <c r="G53" i="2"/>
  <c r="E54" i="2"/>
  <c r="G54" i="2"/>
  <c r="E53" i="2"/>
  <c r="I53" i="2"/>
  <c r="E35" i="2"/>
  <c r="C34" i="2"/>
  <c r="D34" i="2"/>
  <c r="D35" i="2" s="1"/>
  <c r="J57" i="2"/>
  <c r="H57" i="2"/>
  <c r="B57" i="2"/>
  <c r="C35" i="2" l="1"/>
</calcChain>
</file>

<file path=xl/sharedStrings.xml><?xml version="1.0" encoding="utf-8"?>
<sst xmlns="http://schemas.openxmlformats.org/spreadsheetml/2006/main" count="73" uniqueCount="49">
  <si>
    <t>Average</t>
  </si>
  <si>
    <t>Std. Dev.</t>
  </si>
  <si>
    <t>Analysed By :</t>
  </si>
  <si>
    <t>Checked By :</t>
  </si>
  <si>
    <t>Sr .No.</t>
  </si>
  <si>
    <t>% RSD</t>
  </si>
  <si>
    <t xml:space="preserve"> Sample Preparation</t>
  </si>
  <si>
    <t xml:space="preserve">Name </t>
  </si>
  <si>
    <t>Batch Number</t>
  </si>
  <si>
    <t>Sample weight (mg)</t>
  </si>
  <si>
    <t>Condition</t>
  </si>
  <si>
    <t>Taken weight (mg)</t>
  </si>
  <si>
    <t>Taken mL</t>
  </si>
  <si>
    <t>Dilute upto</t>
  </si>
  <si>
    <t xml:space="preserve"> Date :</t>
  </si>
  <si>
    <t>AR No.</t>
  </si>
  <si>
    <t xml:space="preserve"> </t>
  </si>
  <si>
    <t>Spreadsheet No.</t>
  </si>
  <si>
    <t>Date of Reporting</t>
  </si>
  <si>
    <t>Product / Material Name</t>
  </si>
  <si>
    <t>Test Name / Parameter</t>
  </si>
  <si>
    <t>Raw Data Reference</t>
  </si>
  <si>
    <t>Concentration mg/mL</t>
  </si>
  <si>
    <t>Factor (multiplication)</t>
  </si>
  <si>
    <t>Factor (Division)</t>
  </si>
  <si>
    <t>Standard preparation:</t>
  </si>
  <si>
    <t>%LOD/Water</t>
  </si>
  <si>
    <t>%Assay (as is basis)</t>
  </si>
  <si>
    <t>%Assay (OAB/ODB)</t>
  </si>
  <si>
    <t>OAB = On anhydroud basis, ODB: On dried basis</t>
  </si>
  <si>
    <t>Date :</t>
  </si>
  <si>
    <t>Stnadrd Details</t>
  </si>
  <si>
    <t>Internal standard details</t>
  </si>
  <si>
    <t>Potency (%w/w) on as is basis</t>
  </si>
  <si>
    <t>Internal standard preparation</t>
  </si>
  <si>
    <t>Standard response</t>
  </si>
  <si>
    <t>Area Ratio</t>
  </si>
  <si>
    <t>Bracketing standard resposne and RSD</t>
  </si>
  <si>
    <t xml:space="preserve">% RSD of standard </t>
  </si>
  <si>
    <t>% RSD of area ratio</t>
  </si>
  <si>
    <t>Area of Internal standard in sample - Injection-1</t>
  </si>
  <si>
    <t>Area of Internal standard in sample - Injection-2</t>
  </si>
  <si>
    <t>Area of active-Injection-1</t>
  </si>
  <si>
    <t>Area of active-Injection-2</t>
  </si>
  <si>
    <t>Mean Area of active</t>
  </si>
  <si>
    <t>Mean Area of IS</t>
  </si>
  <si>
    <t>QC-001-01</t>
  </si>
  <si>
    <t>Assay by HPLC_Ratio</t>
  </si>
  <si>
    <t>Enter digit for rounding of average/mean area reuired in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</si>
</sst>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0.00000"/>
    <numFmt numFmtId="166" formatCode="0.0000"/>
    <numFmt numFmtId="167" formatCode="0.000000"/>
    <numFmt numFmtId="168" formatCode="_([$€-2]* #,##0.00_);_([$€-2]* \(#,##0.00\);_([$€-2]* &quot;-&quot;??_)"/>
    <numFmt numFmtId="169" formatCode="[$-14009]dd\ mmmm\ yyyy;@"/>
  </numFmts>
  <fonts count="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4"/>
      <color indexed="8"/>
      <name val="Times New Roman"/>
      <family val="1"/>
    </font>
    <font>
      <b/>
      <sz val="2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41"/>
        <bgColor indexed="26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8" fontId="1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 applyProtection="1">
      <alignment vertical="center"/>
      <protection hidden="1"/>
    </xf>
    <xf numFmtId="0" fontId="5" fillId="2" borderId="13" xfId="0" applyFont="1" applyFill="1" applyBorder="1" applyAlignment="1" applyProtection="1">
      <alignment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164" fontId="4" fillId="3" borderId="1" xfId="0" applyNumberFormat="1" applyFont="1" applyFill="1" applyBorder="1" applyAlignment="1" applyProtection="1">
      <alignment horizontal="center" vertical="center"/>
      <protection locked="0" hidden="1"/>
    </xf>
    <xf numFmtId="164" fontId="7" fillId="3" borderId="1" xfId="0" applyNumberFormat="1" applyFont="1" applyFill="1" applyBorder="1" applyAlignment="1" applyProtection="1">
      <alignment horizontal="center" vertical="center"/>
      <protection locked="0" hidden="1"/>
    </xf>
    <xf numFmtId="164" fontId="4" fillId="6" borderId="1" xfId="0" applyNumberFormat="1" applyFont="1" applyFill="1" applyBorder="1" applyAlignment="1" applyProtection="1">
      <alignment horizontal="center" vertical="center"/>
      <protection locked="0"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165" fontId="7" fillId="6" borderId="1" xfId="0" applyNumberFormat="1" applyFont="1" applyFill="1" applyBorder="1" applyAlignment="1" applyProtection="1">
      <alignment horizontal="center" vertical="center"/>
      <protection locked="0" hidden="1"/>
    </xf>
    <xf numFmtId="2" fontId="4" fillId="6" borderId="1" xfId="0" applyNumberFormat="1" applyFont="1" applyFill="1" applyBorder="1" applyAlignment="1" applyProtection="1">
      <alignment horizontal="center" vertical="center"/>
      <protection locked="0" hidden="1"/>
    </xf>
    <xf numFmtId="2" fontId="7" fillId="6" borderId="1" xfId="0" applyNumberFormat="1" applyFont="1" applyFill="1" applyBorder="1" applyAlignment="1" applyProtection="1">
      <alignment horizontal="center" vertical="center"/>
      <protection locked="0" hidden="1"/>
    </xf>
    <xf numFmtId="0" fontId="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166" fontId="4" fillId="4" borderId="1" xfId="0" applyNumberFormat="1" applyFont="1" applyFill="1" applyBorder="1" applyAlignment="1" applyProtection="1">
      <alignment horizontal="center" vertical="center"/>
      <protection locked="0" hidden="1"/>
    </xf>
    <xf numFmtId="166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left" vertical="center"/>
      <protection hidden="1"/>
    </xf>
    <xf numFmtId="0" fontId="6" fillId="2" borderId="1" xfId="0" applyFont="1" applyFill="1" applyBorder="1" applyAlignment="1" applyProtection="1">
      <alignment horizontal="left" vertical="center" wrapText="1"/>
      <protection hidden="1"/>
    </xf>
    <xf numFmtId="20" fontId="6" fillId="2" borderId="1" xfId="0" applyNumberFormat="1" applyFont="1" applyFill="1" applyBorder="1" applyAlignment="1" applyProtection="1">
      <alignment horizontal="center" vertical="center"/>
      <protection hidden="1"/>
    </xf>
    <xf numFmtId="0" fontId="4" fillId="2" borderId="13" xfId="0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165" fontId="4" fillId="0" borderId="1" xfId="0" applyNumberFormat="1" applyFont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center" vertic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0" fontId="4" fillId="2" borderId="19" xfId="0" applyFont="1" applyFill="1" applyBorder="1" applyAlignment="1" applyProtection="1">
      <alignment horizontal="center" vertical="center"/>
      <protection hidden="1"/>
    </xf>
    <xf numFmtId="0" fontId="6" fillId="3" borderId="1" xfId="0" applyFont="1" applyFill="1" applyBorder="1" applyAlignment="1" applyProtection="1">
      <alignment horizontal="left" vertical="center" wrapText="1"/>
      <protection locked="0" hidden="1"/>
    </xf>
    <xf numFmtId="0" fontId="6" fillId="2" borderId="1" xfId="0" applyFont="1" applyFill="1" applyBorder="1" applyAlignment="1" applyProtection="1">
      <alignment horizontal="left" vertical="center"/>
      <protection hidden="1"/>
    </xf>
    <xf numFmtId="0" fontId="3" fillId="7" borderId="0" xfId="0" applyFont="1" applyFill="1" applyAlignment="1" applyProtection="1">
      <alignment horizontal="center" vertical="center"/>
      <protection hidden="1"/>
    </xf>
    <xf numFmtId="0" fontId="3" fillId="7" borderId="20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6" fillId="7" borderId="1" xfId="0" applyFont="1" applyFill="1" applyBorder="1" applyAlignment="1" applyProtection="1">
      <alignment horizontal="center" vertical="center"/>
      <protection hidden="1"/>
    </xf>
    <xf numFmtId="0" fontId="4" fillId="2" borderId="21" xfId="0" applyFont="1" applyFill="1" applyBorder="1" applyAlignment="1" applyProtection="1">
      <alignment horizontal="center" vertical="center"/>
      <protection hidden="1"/>
    </xf>
    <xf numFmtId="169" fontId="6" fillId="2" borderId="1" xfId="0" applyNumberFormat="1" applyFont="1" applyFill="1" applyBorder="1" applyAlignment="1" applyProtection="1">
      <alignment horizontal="center" vertical="center"/>
      <protection hidden="1"/>
    </xf>
    <xf numFmtId="0" fontId="6" fillId="2" borderId="22" xfId="0" applyFont="1" applyFill="1" applyBorder="1" applyAlignment="1" applyProtection="1">
      <alignment horizontal="left" vertical="center"/>
      <protection hidden="1"/>
    </xf>
    <xf numFmtId="0" fontId="6" fillId="2" borderId="11" xfId="0" applyFont="1" applyFill="1" applyBorder="1" applyAlignment="1" applyProtection="1">
      <alignment horizontal="left" vertical="center"/>
      <protection hidden="1"/>
    </xf>
    <xf numFmtId="0" fontId="6" fillId="2" borderId="22" xfId="0" applyFont="1" applyFill="1" applyBorder="1" applyAlignment="1" applyProtection="1">
      <alignment horizontal="center" vertical="center"/>
      <protection hidden="1"/>
    </xf>
    <xf numFmtId="0" fontId="6" fillId="7" borderId="22" xfId="0" applyFont="1" applyFill="1" applyBorder="1" applyAlignment="1" applyProtection="1">
      <alignment horizontal="center" vertical="center"/>
      <protection hidden="1"/>
    </xf>
    <xf numFmtId="0" fontId="6" fillId="7" borderId="23" xfId="0" applyFont="1" applyFill="1" applyBorder="1" applyAlignment="1" applyProtection="1">
      <alignment horizontal="center" vertical="center"/>
      <protection hidden="1"/>
    </xf>
    <xf numFmtId="0" fontId="4" fillId="2" borderId="15" xfId="0" applyFont="1" applyFill="1" applyBorder="1" applyAlignment="1" applyProtection="1">
      <alignment horizontal="center" vertical="center"/>
      <protection hidden="1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right" vertical="center"/>
      <protection hidden="1"/>
    </xf>
    <xf numFmtId="0" fontId="5" fillId="8" borderId="1" xfId="0" applyFont="1" applyFill="1" applyBorder="1" applyAlignment="1" applyProtection="1">
      <alignment horizontal="center" vertical="center"/>
      <protection hidden="1"/>
    </xf>
    <xf numFmtId="0" fontId="4" fillId="2" borderId="13" xfId="0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2" borderId="22" xfId="0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4" fillId="2" borderId="23" xfId="0" applyFont="1" applyFill="1" applyBorder="1" applyAlignment="1" applyProtection="1">
      <alignment horizontal="center" vertical="center"/>
      <protection hidden="1"/>
    </xf>
    <xf numFmtId="17" fontId="6" fillId="6" borderId="5" xfId="0" applyNumberFormat="1" applyFont="1" applyFill="1" applyBorder="1" applyAlignment="1" applyProtection="1">
      <alignment horizontal="center" vertical="center"/>
      <protection locked="0" hidden="1"/>
    </xf>
    <xf numFmtId="0" fontId="6" fillId="6" borderId="7" xfId="0" applyFont="1" applyFill="1" applyBorder="1" applyAlignment="1" applyProtection="1">
      <alignment horizontal="center" vertical="center"/>
      <protection locked="0" hidden="1"/>
    </xf>
    <xf numFmtId="0" fontId="4" fillId="6" borderId="5" xfId="0" applyFont="1" applyFill="1" applyBorder="1" applyAlignment="1" applyProtection="1">
      <alignment horizontal="center" vertical="center"/>
      <protection locked="0" hidden="1"/>
    </xf>
    <xf numFmtId="0" fontId="4" fillId="6" borderId="7" xfId="0" applyFont="1" applyFill="1" applyBorder="1" applyAlignment="1" applyProtection="1">
      <alignment horizontal="center" vertical="center"/>
      <protection locked="0"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2" borderId="17" xfId="0" applyFont="1" applyFill="1" applyBorder="1" applyAlignment="1" applyProtection="1">
      <alignment horizontal="center" vertical="center"/>
      <protection hidden="1"/>
    </xf>
    <xf numFmtId="0" fontId="2" fillId="2" borderId="18" xfId="0" applyFont="1" applyFill="1" applyBorder="1" applyAlignment="1" applyProtection="1">
      <alignment horizontal="center" vertical="center"/>
      <protection hidden="1"/>
    </xf>
    <xf numFmtId="0" fontId="2" fillId="2" borderId="16" xfId="0" applyFont="1" applyFill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6" fillId="2" borderId="15" xfId="0" applyFont="1" applyFill="1" applyBorder="1" applyAlignment="1" applyProtection="1">
      <alignment horizontal="center" vertical="center"/>
      <protection hidden="1"/>
    </xf>
    <xf numFmtId="0" fontId="6" fillId="2" borderId="14" xfId="0" applyFont="1" applyFill="1" applyBorder="1" applyAlignment="1" applyProtection="1">
      <alignment horizontal="center" vertical="center"/>
      <protection hidden="1"/>
    </xf>
    <xf numFmtId="0" fontId="6" fillId="2" borderId="5" xfId="0" applyFont="1" applyFill="1" applyBorder="1" applyAlignment="1" applyProtection="1">
      <alignment horizontal="left" vertical="center"/>
      <protection hidden="1"/>
    </xf>
    <xf numFmtId="0" fontId="6" fillId="2" borderId="7" xfId="0" applyFont="1" applyFill="1" applyBorder="1" applyAlignment="1" applyProtection="1">
      <alignment horizontal="left" vertical="center"/>
      <protection hidden="1"/>
    </xf>
    <xf numFmtId="0" fontId="4" fillId="6" borderId="1" xfId="0" applyFont="1" applyFill="1" applyBorder="1" applyAlignment="1" applyProtection="1">
      <alignment horizontal="left" vertical="center"/>
      <protection locked="0" hidden="1"/>
    </xf>
    <xf numFmtId="15" fontId="6" fillId="6" borderId="1" xfId="0" applyNumberFormat="1" applyFont="1" applyFill="1" applyBorder="1" applyAlignment="1" applyProtection="1">
      <alignment horizontal="left" vertical="center"/>
      <protection locked="0" hidden="1"/>
    </xf>
    <xf numFmtId="0" fontId="6" fillId="6" borderId="1" xfId="0" applyFont="1" applyFill="1" applyBorder="1" applyAlignment="1" applyProtection="1">
      <alignment horizontal="left" vertical="center"/>
      <protection locked="0" hidden="1"/>
    </xf>
    <xf numFmtId="167" fontId="4" fillId="2" borderId="1" xfId="0" applyNumberFormat="1" applyFont="1" applyFill="1" applyBorder="1" applyAlignment="1" applyProtection="1">
      <alignment horizontal="center" vertical="center"/>
      <protection hidden="1"/>
    </xf>
    <xf numFmtId="0" fontId="4" fillId="7" borderId="1" xfId="0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left" vertical="center"/>
      <protection hidden="1"/>
    </xf>
    <xf numFmtId="0" fontId="4" fillId="2" borderId="1" xfId="0" applyFont="1" applyFill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6" fillId="0" borderId="7" xfId="0" applyFont="1" applyBorder="1" applyAlignment="1" applyProtection="1">
      <alignment horizontal="left" vertical="center"/>
      <protection hidden="1"/>
    </xf>
    <xf numFmtId="2" fontId="4" fillId="0" borderId="5" xfId="0" applyNumberFormat="1" applyFont="1" applyBorder="1" applyAlignment="1" applyProtection="1">
      <alignment horizontal="center" vertical="center"/>
      <protection hidden="1"/>
    </xf>
    <xf numFmtId="2" fontId="4" fillId="0" borderId="6" xfId="0" applyNumberFormat="1" applyFont="1" applyBorder="1" applyAlignment="1" applyProtection="1">
      <alignment horizontal="center" vertical="center"/>
      <protection hidden="1"/>
    </xf>
    <xf numFmtId="2" fontId="4" fillId="0" borderId="7" xfId="0" applyNumberFormat="1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6" fillId="2" borderId="20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Alignment="1" applyProtection="1">
      <alignment horizontal="center" vertical="center"/>
      <protection hidden="1"/>
    </xf>
    <xf numFmtId="0" fontId="6" fillId="2" borderId="5" xfId="0" applyFont="1" applyFill="1" applyBorder="1" applyAlignment="1" applyProtection="1">
      <alignment horizontal="center" vertical="center"/>
      <protection hidden="1"/>
    </xf>
    <xf numFmtId="0" fontId="6" fillId="2" borderId="6" xfId="0" applyFont="1" applyFill="1" applyBorder="1" applyAlignment="1" applyProtection="1">
      <alignment horizontal="center" vertical="center"/>
      <protection hidden="1"/>
    </xf>
    <xf numFmtId="0" fontId="6" fillId="2" borderId="3" xfId="0" applyFont="1" applyFill="1" applyBorder="1" applyAlignment="1" applyProtection="1">
      <alignment horizontal="left" vertical="center"/>
      <protection hidden="1"/>
    </xf>
    <xf numFmtId="0" fontId="6" fillId="2" borderId="22" xfId="0" applyFont="1" applyFill="1" applyBorder="1" applyAlignment="1" applyProtection="1">
      <alignment horizontal="left" vertical="center" wrapText="1"/>
      <protection hidden="1"/>
    </xf>
    <xf numFmtId="0" fontId="6" fillId="2" borderId="3" xfId="0" applyFont="1" applyFill="1" applyBorder="1" applyAlignment="1" applyProtection="1">
      <alignment horizontal="left" vertical="center" wrapText="1"/>
      <protection hidden="1"/>
    </xf>
    <xf numFmtId="0" fontId="6" fillId="7" borderId="5" xfId="0" applyFont="1" applyFill="1" applyBorder="1" applyAlignment="1" applyProtection="1">
      <alignment horizontal="center" vertical="center"/>
      <protection hidden="1"/>
    </xf>
    <xf numFmtId="0" fontId="6" fillId="7" borderId="7" xfId="0" applyFont="1" applyFill="1" applyBorder="1" applyAlignment="1" applyProtection="1">
      <alignment horizontal="center" vertical="center"/>
      <protection hidden="1"/>
    </xf>
    <xf numFmtId="0" fontId="6" fillId="7" borderId="3" xfId="0" applyFont="1" applyFill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left" vertical="center"/>
      <protection hidden="1"/>
    </xf>
    <xf numFmtId="0" fontId="4" fillId="2" borderId="12" xfId="0" applyFont="1" applyFill="1" applyBorder="1" applyAlignment="1" applyProtection="1">
      <alignment horizontal="left" vertical="center"/>
      <protection hidden="1"/>
    </xf>
    <xf numFmtId="0" fontId="4" fillId="2" borderId="19" xfId="0" applyFont="1" applyFill="1" applyBorder="1" applyAlignment="1" applyProtection="1">
      <alignment horizontal="left" vertical="center"/>
      <protection hidden="1"/>
    </xf>
    <xf numFmtId="0" fontId="4" fillId="2" borderId="13" xfId="0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4" fillId="2" borderId="20" xfId="0" applyFont="1" applyFill="1" applyBorder="1" applyAlignment="1" applyProtection="1">
      <alignment horizontal="left" vertical="center"/>
      <protection hidden="1"/>
    </xf>
    <xf numFmtId="0" fontId="4" fillId="2" borderId="15" xfId="0" applyFont="1" applyFill="1" applyBorder="1" applyAlignment="1" applyProtection="1">
      <alignment horizontal="left" vertical="center"/>
      <protection hidden="1"/>
    </xf>
    <xf numFmtId="0" fontId="4" fillId="2" borderId="14" xfId="0" applyFont="1" applyFill="1" applyBorder="1" applyAlignment="1" applyProtection="1">
      <alignment horizontal="left" vertical="center"/>
      <protection hidden="1"/>
    </xf>
    <xf numFmtId="0" fontId="4" fillId="2" borderId="21" xfId="0" applyFont="1" applyFill="1" applyBorder="1" applyAlignment="1" applyProtection="1">
      <alignment horizontal="left" vertical="center"/>
      <protection hidden="1"/>
    </xf>
    <xf numFmtId="164" fontId="4" fillId="3" borderId="22" xfId="0" applyNumberFormat="1" applyFont="1" applyFill="1" applyBorder="1" applyAlignment="1" applyProtection="1">
      <alignment horizontal="center" vertical="center"/>
      <protection locked="0" hidden="1"/>
    </xf>
    <xf numFmtId="164" fontId="4" fillId="3" borderId="23" xfId="0" applyNumberFormat="1" applyFont="1" applyFill="1" applyBorder="1" applyAlignment="1" applyProtection="1">
      <alignment horizontal="center" vertical="center"/>
      <protection locked="0" hidden="1"/>
    </xf>
    <xf numFmtId="164" fontId="4" fillId="3" borderId="3" xfId="0" applyNumberFormat="1" applyFont="1" applyFill="1" applyBorder="1" applyAlignment="1" applyProtection="1">
      <alignment horizontal="center" vertical="center"/>
      <protection locked="0" hidden="1"/>
    </xf>
    <xf numFmtId="0" fontId="4" fillId="0" borderId="1" xfId="0" applyFont="1" applyBorder="1" applyAlignment="1" applyProtection="1">
      <alignment horizontal="left" vertical="center"/>
      <protection hidden="1"/>
    </xf>
    <xf numFmtId="166" fontId="6" fillId="0" borderId="1" xfId="0" applyNumberFormat="1" applyFont="1" applyBorder="1" applyAlignment="1" applyProtection="1">
      <alignment horizontal="center" vertical="center" wrapText="1"/>
      <protection hidden="1"/>
    </xf>
    <xf numFmtId="166" fontId="4" fillId="4" borderId="5" xfId="0" applyNumberFormat="1" applyFont="1" applyFill="1" applyBorder="1" applyAlignment="1" applyProtection="1">
      <alignment horizontal="center" vertical="center"/>
      <protection locked="0" hidden="1"/>
    </xf>
    <xf numFmtId="166" fontId="4" fillId="4" borderId="7" xfId="0" applyNumberFormat="1" applyFont="1" applyFill="1" applyBorder="1" applyAlignment="1" applyProtection="1">
      <alignment horizontal="center" vertical="center"/>
      <protection locked="0" hidden="1"/>
    </xf>
    <xf numFmtId="0" fontId="6" fillId="0" borderId="13" xfId="0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166" fontId="4" fillId="0" borderId="11" xfId="0" applyNumberFormat="1" applyFont="1" applyBorder="1" applyAlignment="1" applyProtection="1">
      <alignment horizontal="center" vertical="center"/>
      <protection hidden="1"/>
    </xf>
    <xf numFmtId="166" fontId="4" fillId="0" borderId="12" xfId="0" applyNumberFormat="1" applyFont="1" applyBorder="1" applyAlignment="1" applyProtection="1">
      <alignment horizontal="center" vertical="center"/>
      <protection hidden="1"/>
    </xf>
    <xf numFmtId="165" fontId="4" fillId="5" borderId="5" xfId="0" quotePrefix="1" applyNumberFormat="1" applyFont="1" applyFill="1" applyBorder="1" applyAlignment="1" applyProtection="1">
      <alignment horizontal="center" vertical="center"/>
      <protection locked="0" hidden="1"/>
    </xf>
    <xf numFmtId="165" fontId="4" fillId="5" borderId="7" xfId="0" quotePrefix="1" applyNumberFormat="1" applyFont="1" applyFill="1" applyBorder="1" applyAlignment="1" applyProtection="1">
      <alignment horizontal="center" vertical="center"/>
      <protection locked="0" hidden="1"/>
    </xf>
    <xf numFmtId="0" fontId="6" fillId="6" borderId="5" xfId="0" applyFont="1" applyFill="1" applyBorder="1" applyAlignment="1" applyProtection="1">
      <alignment horizontal="center" vertical="center"/>
      <protection locked="0" hidden="1"/>
    </xf>
    <xf numFmtId="166" fontId="4" fillId="0" borderId="5" xfId="0" quotePrefix="1" applyNumberFormat="1" applyFont="1" applyBorder="1" applyAlignment="1" applyProtection="1">
      <alignment horizontal="center" vertical="center"/>
      <protection hidden="1"/>
    </xf>
    <xf numFmtId="166" fontId="4" fillId="0" borderId="7" xfId="0" quotePrefix="1" applyNumberFormat="1" applyFont="1" applyBorder="1" applyAlignment="1" applyProtection="1">
      <alignment horizontal="center" vertical="center"/>
      <protection hidden="1"/>
    </xf>
    <xf numFmtId="166" fontId="4" fillId="5" borderId="5" xfId="0" quotePrefix="1" applyNumberFormat="1" applyFont="1" applyFill="1" applyBorder="1" applyAlignment="1" applyProtection="1">
      <alignment horizontal="center" vertical="center"/>
      <protection locked="0" hidden="1"/>
    </xf>
    <xf numFmtId="166" fontId="4" fillId="5" borderId="7" xfId="0" quotePrefix="1" applyNumberFormat="1" applyFont="1" applyFill="1" applyBorder="1" applyAlignment="1" applyProtection="1">
      <alignment horizontal="center" vertical="center"/>
      <protection locked="0" hidden="1"/>
    </xf>
    <xf numFmtId="166" fontId="4" fillId="2" borderId="5" xfId="0" applyNumberFormat="1" applyFont="1" applyFill="1" applyBorder="1" applyAlignment="1" applyProtection="1">
      <alignment horizontal="center" vertical="center"/>
      <protection hidden="1"/>
    </xf>
    <xf numFmtId="166" fontId="4" fillId="2" borderId="7" xfId="0" applyNumberFormat="1" applyFont="1" applyFill="1" applyBorder="1" applyAlignment="1" applyProtection="1">
      <alignment horizontal="center" vertical="center"/>
      <protection hidden="1"/>
    </xf>
    <xf numFmtId="2" fontId="6" fillId="0" borderId="5" xfId="0" applyNumberFormat="1" applyFont="1" applyBorder="1" applyAlignment="1" applyProtection="1">
      <alignment horizontal="center" vertical="center"/>
      <protection hidden="1"/>
    </xf>
    <xf numFmtId="2" fontId="6" fillId="0" borderId="7" xfId="0" applyNumberFormat="1" applyFont="1" applyBorder="1" applyAlignment="1" applyProtection="1">
      <alignment horizontal="center" vertical="center"/>
      <protection hidden="1"/>
    </xf>
  </cellXfs>
  <cellStyles count="2">
    <cellStyle name="Euro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1"/>
  <sheetViews>
    <sheetView tabSelected="1" view="pageBreakPreview" zoomScale="65" zoomScaleNormal="100" zoomScaleSheetLayoutView="65" workbookViewId="0">
      <selection activeCell="C49" sqref="C49:J50"/>
    </sheetView>
  </sheetViews>
  <sheetFormatPr defaultColWidth="9.140625" defaultRowHeight="15.75" x14ac:dyDescent="0.2"/>
  <cols>
    <col min="1" max="1" width="2.42578125" style="1" customWidth="1"/>
    <col min="2" max="2" width="30.28515625" style="1" bestFit="1" customWidth="1"/>
    <col min="3" max="3" width="22.5703125" style="1" customWidth="1"/>
    <col min="4" max="4" width="19.140625" style="1" customWidth="1"/>
    <col min="5" max="5" width="19.85546875" style="1" customWidth="1"/>
    <col min="6" max="6" width="20.7109375" style="1" customWidth="1"/>
    <col min="7" max="7" width="22.140625" style="1" customWidth="1"/>
    <col min="8" max="8" width="19" style="1" customWidth="1"/>
    <col min="9" max="9" width="18.85546875" style="1" customWidth="1"/>
    <col min="10" max="10" width="18.5703125" style="1" customWidth="1"/>
    <col min="11" max="11" width="13.28515625" style="1" customWidth="1"/>
    <col min="12" max="12" width="11.85546875" style="1" customWidth="1"/>
    <col min="13" max="13" width="2.42578125" style="1" customWidth="1"/>
    <col min="14" max="16384" width="9.140625" style="1"/>
  </cols>
  <sheetData>
    <row r="1" spans="1:13" x14ac:dyDescent="0.2">
      <c r="A1" s="61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65.45" customHeight="1" x14ac:dyDescent="0.2">
      <c r="A2" s="58"/>
      <c r="B2" s="60"/>
      <c r="C2" s="60"/>
      <c r="D2" s="60"/>
      <c r="E2" s="59"/>
      <c r="F2" s="59"/>
      <c r="G2" s="59"/>
      <c r="H2" s="60"/>
      <c r="I2" s="60"/>
      <c r="J2" s="60"/>
      <c r="K2" s="60"/>
      <c r="L2" s="60"/>
      <c r="M2" s="64"/>
    </row>
    <row r="3" spans="1:13" x14ac:dyDescent="0.2">
      <c r="A3" s="58"/>
      <c r="B3" s="80"/>
      <c r="C3" s="81"/>
      <c r="D3" s="81"/>
      <c r="E3" s="81"/>
      <c r="F3" s="81"/>
      <c r="G3" s="81"/>
      <c r="H3" s="81"/>
      <c r="I3" s="81"/>
      <c r="J3" s="81"/>
      <c r="K3" s="81"/>
      <c r="L3" s="82"/>
      <c r="M3" s="64"/>
    </row>
    <row r="4" spans="1:13" s="3" customFormat="1" ht="43.15" customHeight="1" x14ac:dyDescent="0.2">
      <c r="A4" s="58"/>
      <c r="B4" s="2"/>
      <c r="C4" s="47" t="s">
        <v>47</v>
      </c>
      <c r="D4" s="47"/>
      <c r="E4" s="47"/>
      <c r="F4" s="47"/>
      <c r="G4" s="47"/>
      <c r="H4" s="47"/>
      <c r="I4" s="47"/>
      <c r="J4" s="47"/>
      <c r="K4" s="32"/>
      <c r="L4" s="33"/>
      <c r="M4" s="64"/>
    </row>
    <row r="5" spans="1:13" s="3" customFormat="1" ht="21.75" customHeight="1" x14ac:dyDescent="0.2">
      <c r="A5" s="58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64"/>
    </row>
    <row r="6" spans="1:13" s="3" customFormat="1" ht="24.95" customHeight="1" x14ac:dyDescent="0.2">
      <c r="A6" s="58"/>
      <c r="B6" s="31" t="s">
        <v>17</v>
      </c>
      <c r="C6" s="31"/>
      <c r="D6" s="84" t="s">
        <v>46</v>
      </c>
      <c r="E6" s="84"/>
      <c r="F6" s="84"/>
      <c r="G6" s="84"/>
      <c r="H6" s="84"/>
      <c r="I6" s="84"/>
      <c r="J6" s="84"/>
      <c r="K6" s="84"/>
      <c r="L6" s="84"/>
      <c r="M6" s="64"/>
    </row>
    <row r="7" spans="1:13" s="3" customFormat="1" ht="15.75" customHeight="1" x14ac:dyDescent="0.2">
      <c r="A7" s="58"/>
      <c r="B7" s="68"/>
      <c r="C7" s="69"/>
      <c r="D7" s="69"/>
      <c r="E7" s="69"/>
      <c r="F7" s="69"/>
      <c r="G7" s="69"/>
      <c r="H7" s="69"/>
      <c r="I7" s="69"/>
      <c r="J7" s="69"/>
      <c r="K7" s="69"/>
      <c r="L7" s="70"/>
      <c r="M7" s="64"/>
    </row>
    <row r="8" spans="1:13" s="3" customFormat="1" ht="24" customHeight="1" x14ac:dyDescent="0.2">
      <c r="A8" s="58"/>
      <c r="B8" s="31" t="s">
        <v>18</v>
      </c>
      <c r="C8" s="31"/>
      <c r="D8" s="76"/>
      <c r="E8" s="76"/>
      <c r="F8" s="76"/>
      <c r="G8" s="76"/>
      <c r="H8" s="76"/>
      <c r="I8" s="76"/>
      <c r="J8" s="76"/>
      <c r="K8" s="76"/>
      <c r="L8" s="76"/>
      <c r="M8" s="64"/>
    </row>
    <row r="9" spans="1:13" s="3" customFormat="1" ht="24" customHeight="1" x14ac:dyDescent="0.2">
      <c r="A9" s="58"/>
      <c r="B9" s="73" t="s">
        <v>19</v>
      </c>
      <c r="C9" s="74"/>
      <c r="D9" s="77"/>
      <c r="E9" s="77"/>
      <c r="F9" s="77"/>
      <c r="G9" s="77"/>
      <c r="H9" s="77"/>
      <c r="I9" s="77"/>
      <c r="J9" s="77"/>
      <c r="K9" s="77"/>
      <c r="L9" s="77"/>
      <c r="M9" s="64"/>
    </row>
    <row r="10" spans="1:13" s="3" customFormat="1" ht="24" customHeight="1" x14ac:dyDescent="0.2">
      <c r="A10" s="58"/>
      <c r="B10" s="31" t="s">
        <v>20</v>
      </c>
      <c r="C10" s="31"/>
      <c r="D10" s="75"/>
      <c r="E10" s="75"/>
      <c r="F10" s="75"/>
      <c r="G10" s="75"/>
      <c r="H10" s="75"/>
      <c r="I10" s="75"/>
      <c r="J10" s="75"/>
      <c r="K10" s="75"/>
      <c r="L10" s="75"/>
      <c r="M10" s="64"/>
    </row>
    <row r="11" spans="1:13" s="3" customFormat="1" ht="24" customHeight="1" x14ac:dyDescent="0.2">
      <c r="A11" s="58"/>
      <c r="B11" s="31" t="s">
        <v>21</v>
      </c>
      <c r="C11" s="31"/>
      <c r="D11" s="75"/>
      <c r="E11" s="75"/>
      <c r="F11" s="75"/>
      <c r="G11" s="75"/>
      <c r="H11" s="75"/>
      <c r="I11" s="75"/>
      <c r="J11" s="75"/>
      <c r="K11" s="75"/>
      <c r="L11" s="75"/>
      <c r="M11" s="64"/>
    </row>
    <row r="12" spans="1:13" s="3" customFormat="1" ht="15.75" customHeight="1" x14ac:dyDescent="0.2">
      <c r="A12" s="58"/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9"/>
      <c r="M12" s="64"/>
    </row>
    <row r="13" spans="1:13" s="3" customFormat="1" ht="27" customHeight="1" x14ac:dyDescent="0.2">
      <c r="A13" s="58"/>
      <c r="B13" s="49" t="s">
        <v>31</v>
      </c>
      <c r="C13" s="49"/>
      <c r="D13" s="49"/>
      <c r="E13" s="49"/>
      <c r="F13" s="53"/>
      <c r="G13" s="49" t="s">
        <v>32</v>
      </c>
      <c r="H13" s="49"/>
      <c r="I13" s="49"/>
      <c r="J13" s="49"/>
      <c r="K13" s="49"/>
      <c r="L13" s="53"/>
      <c r="M13" s="64"/>
    </row>
    <row r="14" spans="1:13" ht="24.95" customHeight="1" x14ac:dyDescent="0.2">
      <c r="A14" s="58"/>
      <c r="B14" s="30"/>
      <c r="C14" s="85" t="s">
        <v>33</v>
      </c>
      <c r="D14" s="85"/>
      <c r="E14" s="4"/>
      <c r="F14" s="53"/>
      <c r="G14" s="30"/>
      <c r="H14" s="102" t="s">
        <v>33</v>
      </c>
      <c r="I14" s="103"/>
      <c r="J14" s="104"/>
      <c r="K14" s="111"/>
      <c r="L14" s="53"/>
      <c r="M14" s="64"/>
    </row>
    <row r="15" spans="1:13" ht="24.95" customHeight="1" x14ac:dyDescent="0.2">
      <c r="A15" s="58"/>
      <c r="B15" s="30"/>
      <c r="C15" s="79" t="s">
        <v>23</v>
      </c>
      <c r="D15" s="79"/>
      <c r="E15" s="5"/>
      <c r="F15" s="53"/>
      <c r="G15" s="30"/>
      <c r="H15" s="105"/>
      <c r="I15" s="106"/>
      <c r="J15" s="107"/>
      <c r="K15" s="112"/>
      <c r="L15" s="53"/>
      <c r="M15" s="64"/>
    </row>
    <row r="16" spans="1:13" ht="24.95" customHeight="1" x14ac:dyDescent="0.2">
      <c r="A16" s="58"/>
      <c r="B16" s="30"/>
      <c r="C16" s="114" t="s">
        <v>24</v>
      </c>
      <c r="D16" s="114"/>
      <c r="E16" s="6"/>
      <c r="F16" s="53"/>
      <c r="G16" s="30"/>
      <c r="H16" s="108"/>
      <c r="I16" s="109"/>
      <c r="J16" s="110"/>
      <c r="K16" s="113"/>
      <c r="L16" s="53"/>
      <c r="M16" s="64"/>
    </row>
    <row r="17" spans="1:13" ht="24.95" customHeight="1" x14ac:dyDescent="0.2">
      <c r="A17" s="58"/>
      <c r="B17" s="94"/>
      <c r="C17" s="95"/>
      <c r="D17" s="91"/>
      <c r="E17" s="91"/>
      <c r="F17" s="91"/>
      <c r="G17" s="91"/>
      <c r="H17" s="91"/>
      <c r="I17" s="91"/>
      <c r="J17" s="91"/>
      <c r="K17" s="91"/>
      <c r="L17" s="92"/>
      <c r="M17" s="64"/>
    </row>
    <row r="18" spans="1:13" ht="24.95" customHeight="1" x14ac:dyDescent="0.2">
      <c r="A18" s="58"/>
      <c r="B18" s="31" t="s">
        <v>25</v>
      </c>
      <c r="C18" s="31"/>
      <c r="D18" s="72"/>
      <c r="E18" s="72"/>
      <c r="F18" s="72"/>
      <c r="G18" s="72"/>
      <c r="H18" s="72"/>
      <c r="I18" s="72"/>
      <c r="J18" s="72"/>
      <c r="K18" s="72"/>
      <c r="L18" s="93"/>
      <c r="M18" s="64"/>
    </row>
    <row r="19" spans="1:13" ht="24.95" customHeight="1" x14ac:dyDescent="0.2">
      <c r="A19" s="58"/>
      <c r="B19" s="39" t="str">
        <f>IF(B14="","",B14)</f>
        <v/>
      </c>
      <c r="C19" s="7" t="s">
        <v>11</v>
      </c>
      <c r="D19" s="7" t="s">
        <v>13</v>
      </c>
      <c r="E19" s="7" t="s">
        <v>12</v>
      </c>
      <c r="F19" s="7" t="s">
        <v>13</v>
      </c>
      <c r="G19" s="7" t="s">
        <v>12</v>
      </c>
      <c r="H19" s="7" t="s">
        <v>13</v>
      </c>
      <c r="I19" s="7" t="s">
        <v>12</v>
      </c>
      <c r="J19" s="7" t="s">
        <v>13</v>
      </c>
      <c r="K19" s="49" t="s">
        <v>22</v>
      </c>
      <c r="L19" s="49"/>
      <c r="M19" s="64"/>
    </row>
    <row r="20" spans="1:13" ht="24.95" customHeight="1" x14ac:dyDescent="0.2">
      <c r="A20" s="58"/>
      <c r="B20" s="96"/>
      <c r="C20" s="8"/>
      <c r="D20" s="9"/>
      <c r="E20" s="10"/>
      <c r="F20" s="9"/>
      <c r="G20" s="10"/>
      <c r="H20" s="9"/>
      <c r="I20" s="9"/>
      <c r="J20" s="9"/>
      <c r="K20" s="78" t="str">
        <f>IFERROR(C20/D20*E20/F20*G20/H20*I20/J20*E14/100,"")</f>
        <v/>
      </c>
      <c r="L20" s="78"/>
      <c r="M20" s="64"/>
    </row>
    <row r="21" spans="1:13" ht="24.95" customHeight="1" x14ac:dyDescent="0.2">
      <c r="A21" s="58"/>
      <c r="B21" s="86" t="s">
        <v>34</v>
      </c>
      <c r="C21" s="87"/>
      <c r="D21" s="88"/>
      <c r="E21" s="89"/>
      <c r="F21" s="89"/>
      <c r="G21" s="89"/>
      <c r="H21" s="89"/>
      <c r="I21" s="89"/>
      <c r="J21" s="89"/>
      <c r="K21" s="89"/>
      <c r="L21" s="90"/>
      <c r="M21" s="64"/>
    </row>
    <row r="22" spans="1:13" ht="24" customHeight="1" x14ac:dyDescent="0.2">
      <c r="A22" s="58"/>
      <c r="B22" s="97" t="str">
        <f>IF(G14="","",G14)</f>
        <v/>
      </c>
      <c r="C22" s="7" t="s">
        <v>11</v>
      </c>
      <c r="D22" s="7" t="s">
        <v>13</v>
      </c>
      <c r="E22" s="7" t="s">
        <v>12</v>
      </c>
      <c r="F22" s="7" t="s">
        <v>13</v>
      </c>
      <c r="G22" s="7" t="s">
        <v>12</v>
      </c>
      <c r="H22" s="7" t="s">
        <v>13</v>
      </c>
      <c r="I22" s="7" t="s">
        <v>12</v>
      </c>
      <c r="J22" s="7" t="s">
        <v>13</v>
      </c>
      <c r="K22" s="49" t="s">
        <v>22</v>
      </c>
      <c r="L22" s="49"/>
      <c r="M22" s="64"/>
    </row>
    <row r="23" spans="1:13" ht="24.95" customHeight="1" x14ac:dyDescent="0.2">
      <c r="A23" s="58"/>
      <c r="B23" s="98"/>
      <c r="C23" s="8"/>
      <c r="D23" s="9"/>
      <c r="E23" s="10"/>
      <c r="F23" s="9"/>
      <c r="G23" s="10"/>
      <c r="H23" s="9"/>
      <c r="I23" s="9"/>
      <c r="J23" s="9"/>
      <c r="K23" s="78" t="str">
        <f>IFERROR(C23/D23*E23/F23*G23/H23*I23/J23*K14/100,"")</f>
        <v/>
      </c>
      <c r="L23" s="78"/>
      <c r="M23" s="64"/>
    </row>
    <row r="24" spans="1:13" ht="26.25" customHeight="1" x14ac:dyDescent="0.2">
      <c r="A24" s="58"/>
      <c r="B24" s="50"/>
      <c r="C24" s="50"/>
      <c r="D24" s="50"/>
      <c r="E24" s="50"/>
      <c r="F24" s="51"/>
      <c r="G24" s="51"/>
      <c r="H24" s="51"/>
      <c r="I24" s="51"/>
      <c r="J24" s="51"/>
      <c r="K24" s="51"/>
      <c r="L24" s="51"/>
      <c r="M24" s="64"/>
    </row>
    <row r="25" spans="1:13" ht="24.95" customHeight="1" x14ac:dyDescent="0.2">
      <c r="A25" s="58"/>
      <c r="B25" s="36" t="s">
        <v>4</v>
      </c>
      <c r="C25" s="99" t="s">
        <v>35</v>
      </c>
      <c r="D25" s="100"/>
      <c r="E25" s="42" t="s">
        <v>36</v>
      </c>
      <c r="F25" s="36" t="s">
        <v>37</v>
      </c>
      <c r="G25" s="36"/>
      <c r="H25" s="36"/>
      <c r="I25" s="36"/>
      <c r="J25" s="36"/>
      <c r="K25" s="118"/>
      <c r="L25" s="119"/>
      <c r="M25" s="64"/>
    </row>
    <row r="26" spans="1:13" ht="33.6" customHeight="1" x14ac:dyDescent="0.2">
      <c r="A26" s="58"/>
      <c r="B26" s="36"/>
      <c r="C26" s="11" t="str">
        <f>IF(B14="","",B14)</f>
        <v/>
      </c>
      <c r="D26" s="11" t="str">
        <f>IF(G14="","",G14)</f>
        <v/>
      </c>
      <c r="E26" s="101"/>
      <c r="F26" s="13" t="str">
        <f>IF(B14="","",B14)</f>
        <v/>
      </c>
      <c r="G26" s="13" t="str">
        <f>IF(G14="","",G14)</f>
        <v/>
      </c>
      <c r="H26" s="12" t="s">
        <v>36</v>
      </c>
      <c r="I26" s="13" t="s">
        <v>38</v>
      </c>
      <c r="J26" s="13" t="s">
        <v>39</v>
      </c>
      <c r="K26" s="118"/>
      <c r="L26" s="119"/>
      <c r="M26" s="64"/>
    </row>
    <row r="27" spans="1:13" ht="24.95" customHeight="1" x14ac:dyDescent="0.2">
      <c r="A27" s="58"/>
      <c r="B27" s="14">
        <v>1</v>
      </c>
      <c r="C27" s="15"/>
      <c r="D27" s="15"/>
      <c r="E27" s="26" t="str">
        <f>IFERROR(TRUNC(C27/D27,5),"")</f>
        <v/>
      </c>
      <c r="F27" s="15"/>
      <c r="G27" s="15"/>
      <c r="H27" s="16" t="str">
        <f>IFERROR(TRUNC(F27/G27,5),"")</f>
        <v/>
      </c>
      <c r="I27" s="17" t="str">
        <f>IF(F27="","",ROUND(STDEV($C$27:$C$32,F27)/AVERAGE($C$27:$C$32,F27)*100,3))</f>
        <v/>
      </c>
      <c r="J27" s="17" t="str">
        <f>IF(H27="","",ROUND(STDEV($E$27:$E$32,H27)/AVERAGE($E$27:$E$32,H27)*100,3))</f>
        <v/>
      </c>
      <c r="K27" s="118"/>
      <c r="L27" s="119"/>
      <c r="M27" s="64"/>
    </row>
    <row r="28" spans="1:13" ht="24.95" customHeight="1" x14ac:dyDescent="0.2">
      <c r="A28" s="58"/>
      <c r="B28" s="14">
        <v>2</v>
      </c>
      <c r="C28" s="15"/>
      <c r="D28" s="15"/>
      <c r="E28" s="26" t="str">
        <f t="shared" ref="E28:E31" si="0">IFERROR(TRUNC(C28/D28,5),"")</f>
        <v/>
      </c>
      <c r="F28" s="15"/>
      <c r="G28" s="15"/>
      <c r="H28" s="16" t="str">
        <f>IFERROR(TRUNC(F28/G28,5),"")</f>
        <v/>
      </c>
      <c r="I28" s="17" t="str">
        <f>IF(F28="","",ROUND(STDEV($C$27:$C$32,F27:F28)/AVERAGE($C$27:$C$32,F27:F28)*100,3))</f>
        <v/>
      </c>
      <c r="J28" s="17" t="str">
        <f>IF(H28="","",ROUND(STDEV($E$27:$E$32,H27:H28)/AVERAGE($E$27:$E$32,H27:H28)*100,3))</f>
        <v/>
      </c>
      <c r="K28" s="118"/>
      <c r="L28" s="119"/>
      <c r="M28" s="64"/>
    </row>
    <row r="29" spans="1:13" ht="24.95" customHeight="1" x14ac:dyDescent="0.2">
      <c r="A29" s="58"/>
      <c r="B29" s="14">
        <v>3</v>
      </c>
      <c r="C29" s="15"/>
      <c r="D29" s="15"/>
      <c r="E29" s="26" t="str">
        <f t="shared" si="0"/>
        <v/>
      </c>
      <c r="F29" s="15"/>
      <c r="G29" s="15"/>
      <c r="H29" s="16" t="str">
        <f>IFERROR(TRUNC(F29/G29,5),"")</f>
        <v/>
      </c>
      <c r="I29" s="17" t="str">
        <f>IF(F29="","",ROUND(STDEV($C$27:$C$32,F27:F29)/AVERAGE($C$27:$C$32,F27:F29)*100,3))</f>
        <v/>
      </c>
      <c r="J29" s="17" t="str">
        <f>IF(H29="","",ROUND(STDEV($E$27:$E$32,H27:H29)/AVERAGE($E$27:$E$32,H27:H29)*100,3))</f>
        <v/>
      </c>
      <c r="K29" s="118"/>
      <c r="L29" s="119"/>
      <c r="M29" s="64"/>
    </row>
    <row r="30" spans="1:13" ht="24.95" customHeight="1" x14ac:dyDescent="0.2">
      <c r="A30" s="58"/>
      <c r="B30" s="14">
        <v>4</v>
      </c>
      <c r="C30" s="15"/>
      <c r="D30" s="15"/>
      <c r="E30" s="26" t="str">
        <f t="shared" si="0"/>
        <v/>
      </c>
      <c r="F30" s="15"/>
      <c r="G30" s="15"/>
      <c r="H30" s="16" t="str">
        <f t="shared" ref="H30:H32" si="1">IFERROR(TRUNC(F30/G30,5),"")</f>
        <v/>
      </c>
      <c r="I30" s="17" t="str">
        <f>IF(F30="","",ROUND(STDEV($C$27:$C$32,F27:F30)/AVERAGE($C$27:$C$32,F27:F30)*100,3))</f>
        <v/>
      </c>
      <c r="J30" s="17" t="str">
        <f>IF(H30="","",ROUND(STDEV($E$27:$E$32,H27:H30)/AVERAGE($E$27:$E$32,H27:H30)*100,3))</f>
        <v/>
      </c>
      <c r="K30" s="118"/>
      <c r="L30" s="119"/>
      <c r="M30" s="64"/>
    </row>
    <row r="31" spans="1:13" ht="24.95" customHeight="1" x14ac:dyDescent="0.2">
      <c r="A31" s="58"/>
      <c r="B31" s="14">
        <v>5</v>
      </c>
      <c r="C31" s="15"/>
      <c r="D31" s="15"/>
      <c r="E31" s="26" t="str">
        <f t="shared" si="0"/>
        <v/>
      </c>
      <c r="F31" s="15"/>
      <c r="G31" s="15"/>
      <c r="H31" s="16" t="str">
        <f t="shared" si="1"/>
        <v/>
      </c>
      <c r="I31" s="17" t="str">
        <f>IF(F31="","",ROUND(STDEV($C$27:$C$32,F27:F31)/AVERAGE($C$27:$C$32,F27:F31)*100,3))</f>
        <v/>
      </c>
      <c r="J31" s="17" t="str">
        <f>IF(H31="","",ROUND(STDEV($E$27:$E$32,H27:H31)/AVERAGE($E$27:$E$32,H27:H31)*100,3))</f>
        <v/>
      </c>
      <c r="K31" s="118"/>
      <c r="L31" s="119"/>
      <c r="M31" s="64"/>
    </row>
    <row r="32" spans="1:13" ht="24.95" customHeight="1" x14ac:dyDescent="0.2">
      <c r="A32" s="58"/>
      <c r="B32" s="14">
        <v>6</v>
      </c>
      <c r="C32" s="15"/>
      <c r="D32" s="15"/>
      <c r="E32" s="26" t="str">
        <f>IFERROR(TRUNC(C32/D32,5),"")</f>
        <v/>
      </c>
      <c r="F32" s="15"/>
      <c r="G32" s="15"/>
      <c r="H32" s="16" t="str">
        <f t="shared" si="1"/>
        <v/>
      </c>
      <c r="I32" s="17" t="str">
        <f>IF(F32="","",ROUND(STDEV($C$27:$C$32,F27:F32)/AVERAGE($C$27:$C$32,F27:F32)*100,3))</f>
        <v/>
      </c>
      <c r="J32" s="17" t="str">
        <f>IF(H32="","",ROUND(STDEV($E$27:$E$32,H27:H32)/AVERAGE($E$27:$E$32,H27:H32)*100,3))</f>
        <v/>
      </c>
      <c r="K32" s="118"/>
      <c r="L32" s="119"/>
      <c r="M32" s="64"/>
    </row>
    <row r="33" spans="1:13" ht="56.25" customHeight="1" x14ac:dyDescent="0.2">
      <c r="A33" s="58"/>
      <c r="B33" s="14" t="s">
        <v>0</v>
      </c>
      <c r="C33" s="16" t="str">
        <f>IFERROR(ROUND(AVERAGE(C27:C32),F34),"")</f>
        <v/>
      </c>
      <c r="D33" s="16" t="str">
        <f>IFERROR(ROUND(AVERAGE(D27:D32),F34),"")</f>
        <v/>
      </c>
      <c r="E33" s="26" t="str">
        <f>IFERROR(ROUND(AVERAGE(E27:E32),5),"")</f>
        <v/>
      </c>
      <c r="F33" s="115" t="s">
        <v>48</v>
      </c>
      <c r="G33" s="115"/>
      <c r="H33" s="120"/>
      <c r="I33" s="120"/>
      <c r="J33" s="120"/>
      <c r="K33" s="120"/>
      <c r="L33" s="119"/>
      <c r="M33" s="64"/>
    </row>
    <row r="34" spans="1:13" ht="24.95" customHeight="1" x14ac:dyDescent="0.2">
      <c r="A34" s="58"/>
      <c r="B34" s="14" t="s">
        <v>1</v>
      </c>
      <c r="C34" s="16" t="str">
        <f>IFERROR(TRUNC(STDEV(C27:C32),4),"")</f>
        <v/>
      </c>
      <c r="D34" s="16" t="str">
        <f>IFERROR(TRUNC(STDEV(D27:D32),4),"")</f>
        <v/>
      </c>
      <c r="E34" s="16" t="str">
        <f>IFERROR(TRUNC(STDEV(E27:E32),4),"")</f>
        <v/>
      </c>
      <c r="F34" s="116"/>
      <c r="G34" s="117"/>
      <c r="H34" s="120"/>
      <c r="I34" s="120"/>
      <c r="J34" s="120"/>
      <c r="K34" s="120"/>
      <c r="L34" s="119"/>
      <c r="M34" s="64"/>
    </row>
    <row r="35" spans="1:13" ht="24.95" customHeight="1" x14ac:dyDescent="0.2">
      <c r="A35" s="58"/>
      <c r="B35" s="14" t="s">
        <v>5</v>
      </c>
      <c r="C35" s="17" t="str">
        <f>IFERROR(ROUND(C34*100/C33,3),"")</f>
        <v/>
      </c>
      <c r="D35" s="17" t="str">
        <f>IFERROR(ROUND(D34*100/D33,3),"")</f>
        <v/>
      </c>
      <c r="E35" s="17" t="str">
        <f>IFERROR(ROUND(E34*100/E33,3),"")</f>
        <v/>
      </c>
      <c r="F35" s="121"/>
      <c r="G35" s="122"/>
      <c r="H35" s="120"/>
      <c r="I35" s="120"/>
      <c r="J35" s="120"/>
      <c r="K35" s="120"/>
      <c r="L35" s="119"/>
      <c r="M35" s="64"/>
    </row>
    <row r="36" spans="1:13" s="3" customFormat="1" ht="18.75" x14ac:dyDescent="0.2">
      <c r="A36" s="58"/>
      <c r="B36" s="50"/>
      <c r="C36" s="50"/>
      <c r="D36" s="50"/>
      <c r="E36" s="52"/>
      <c r="F36" s="52"/>
      <c r="G36" s="52"/>
      <c r="H36" s="52"/>
      <c r="I36" s="52"/>
      <c r="J36" s="53"/>
      <c r="K36" s="53"/>
      <c r="L36" s="53"/>
      <c r="M36" s="64"/>
    </row>
    <row r="37" spans="1:13" s="3" customFormat="1" ht="24.95" customHeight="1" x14ac:dyDescent="0.2">
      <c r="A37" s="58"/>
      <c r="B37" s="31" t="s">
        <v>6</v>
      </c>
      <c r="C37" s="7" t="s">
        <v>13</v>
      </c>
      <c r="D37" s="7" t="s">
        <v>12</v>
      </c>
      <c r="E37" s="7" t="s">
        <v>13</v>
      </c>
      <c r="F37" s="7" t="s">
        <v>12</v>
      </c>
      <c r="G37" s="7" t="s">
        <v>13</v>
      </c>
      <c r="H37" s="7" t="s">
        <v>12</v>
      </c>
      <c r="I37" s="7" t="s">
        <v>13</v>
      </c>
      <c r="J37" s="48"/>
      <c r="K37" s="34"/>
      <c r="L37" s="35"/>
      <c r="M37" s="64"/>
    </row>
    <row r="38" spans="1:13" s="3" customFormat="1" ht="24.95" customHeight="1" x14ac:dyDescent="0.2">
      <c r="A38" s="58"/>
      <c r="B38" s="31"/>
      <c r="C38" s="9"/>
      <c r="D38" s="9"/>
      <c r="E38" s="9"/>
      <c r="F38" s="9"/>
      <c r="G38" s="9"/>
      <c r="H38" s="9"/>
      <c r="I38" s="9"/>
      <c r="J38" s="48"/>
      <c r="K38" s="34"/>
      <c r="L38" s="35"/>
      <c r="M38" s="64"/>
    </row>
    <row r="39" spans="1:13" s="3" customFormat="1" ht="15.75" customHeight="1" x14ac:dyDescent="0.2">
      <c r="A39" s="58"/>
      <c r="B39" s="50"/>
      <c r="C39" s="50"/>
      <c r="D39" s="50"/>
      <c r="E39" s="50"/>
      <c r="F39" s="50"/>
      <c r="G39" s="50"/>
      <c r="H39" s="50"/>
      <c r="I39" s="50"/>
      <c r="J39" s="52"/>
      <c r="K39" s="53"/>
      <c r="L39" s="53"/>
      <c r="M39" s="64"/>
    </row>
    <row r="40" spans="1:13" s="3" customFormat="1" ht="24.95" customHeight="1" x14ac:dyDescent="0.2">
      <c r="A40" s="58"/>
      <c r="B40" s="18" t="s">
        <v>7</v>
      </c>
      <c r="C40" s="49" t="str">
        <f>IF(B14="","",B14)</f>
        <v/>
      </c>
      <c r="D40" s="49"/>
      <c r="E40" s="49"/>
      <c r="F40" s="49"/>
      <c r="G40" s="49"/>
      <c r="H40" s="49"/>
      <c r="I40" s="49"/>
      <c r="J40" s="49"/>
      <c r="K40" s="34"/>
      <c r="L40" s="35"/>
      <c r="M40" s="64"/>
    </row>
    <row r="41" spans="1:13" s="3" customFormat="1" ht="24.95" customHeight="1" x14ac:dyDescent="0.2">
      <c r="A41" s="58"/>
      <c r="B41" s="18" t="s">
        <v>15</v>
      </c>
      <c r="C41" s="125"/>
      <c r="D41" s="55"/>
      <c r="E41" s="125"/>
      <c r="F41" s="55"/>
      <c r="G41" s="125"/>
      <c r="H41" s="55"/>
      <c r="I41" s="125"/>
      <c r="J41" s="55"/>
      <c r="K41" s="34"/>
      <c r="L41" s="35"/>
      <c r="M41" s="64"/>
    </row>
    <row r="42" spans="1:13" s="3" customFormat="1" ht="24.95" customHeight="1" x14ac:dyDescent="0.2">
      <c r="A42" s="58"/>
      <c r="B42" s="18" t="s">
        <v>8</v>
      </c>
      <c r="C42" s="54"/>
      <c r="D42" s="55"/>
      <c r="E42" s="54"/>
      <c r="F42" s="55"/>
      <c r="G42" s="54"/>
      <c r="H42" s="55"/>
      <c r="I42" s="54"/>
      <c r="J42" s="55"/>
      <c r="K42" s="34"/>
      <c r="L42" s="35"/>
      <c r="M42" s="64"/>
    </row>
    <row r="43" spans="1:13" s="3" customFormat="1" ht="24.95" customHeight="1" x14ac:dyDescent="0.2">
      <c r="A43" s="58"/>
      <c r="B43" s="18" t="s">
        <v>10</v>
      </c>
      <c r="C43" s="56"/>
      <c r="D43" s="57"/>
      <c r="E43" s="56"/>
      <c r="F43" s="57"/>
      <c r="G43" s="56"/>
      <c r="H43" s="57"/>
      <c r="I43" s="56"/>
      <c r="J43" s="57"/>
      <c r="K43" s="34"/>
      <c r="L43" s="35"/>
      <c r="M43" s="64"/>
    </row>
    <row r="44" spans="1:13" s="3" customFormat="1" ht="24.95" customHeight="1" x14ac:dyDescent="0.2">
      <c r="A44" s="58"/>
      <c r="B44" s="18" t="s">
        <v>9</v>
      </c>
      <c r="C44" s="123"/>
      <c r="D44" s="124"/>
      <c r="E44" s="123"/>
      <c r="F44" s="124"/>
      <c r="G44" s="123"/>
      <c r="H44" s="124"/>
      <c r="I44" s="123"/>
      <c r="J44" s="124"/>
      <c r="K44" s="34"/>
      <c r="L44" s="35"/>
      <c r="M44" s="64"/>
    </row>
    <row r="45" spans="1:13" s="3" customFormat="1" ht="24.95" customHeight="1" x14ac:dyDescent="0.2">
      <c r="A45" s="58"/>
      <c r="B45" s="18" t="s">
        <v>26</v>
      </c>
      <c r="C45" s="123"/>
      <c r="D45" s="124"/>
      <c r="E45" s="123"/>
      <c r="F45" s="124"/>
      <c r="G45" s="123"/>
      <c r="H45" s="124"/>
      <c r="I45" s="123"/>
      <c r="J45" s="124"/>
      <c r="K45" s="34"/>
      <c r="L45" s="35"/>
      <c r="M45" s="64"/>
    </row>
    <row r="46" spans="1:13" s="3" customFormat="1" ht="24.95" customHeight="1" x14ac:dyDescent="0.2">
      <c r="A46" s="58"/>
      <c r="B46" s="18" t="s">
        <v>42</v>
      </c>
      <c r="C46" s="128"/>
      <c r="D46" s="129"/>
      <c r="E46" s="128"/>
      <c r="F46" s="129"/>
      <c r="G46" s="128"/>
      <c r="H46" s="129"/>
      <c r="I46" s="128"/>
      <c r="J46" s="129"/>
      <c r="K46" s="34"/>
      <c r="L46" s="35"/>
      <c r="M46" s="64"/>
    </row>
    <row r="47" spans="1:13" s="3" customFormat="1" ht="24.95" customHeight="1" x14ac:dyDescent="0.2">
      <c r="A47" s="58"/>
      <c r="B47" s="18" t="s">
        <v>43</v>
      </c>
      <c r="C47" s="128"/>
      <c r="D47" s="129"/>
      <c r="E47" s="128"/>
      <c r="F47" s="129"/>
      <c r="G47" s="128"/>
      <c r="H47" s="129"/>
      <c r="I47" s="128"/>
      <c r="J47" s="129"/>
      <c r="K47" s="34"/>
      <c r="L47" s="35"/>
      <c r="M47" s="64"/>
    </row>
    <row r="48" spans="1:13" s="3" customFormat="1" ht="24.95" customHeight="1" x14ac:dyDescent="0.2">
      <c r="A48" s="58"/>
      <c r="B48" s="18" t="s">
        <v>44</v>
      </c>
      <c r="C48" s="126" t="str">
        <f>IFERROR(ROUND(AVERAGE(C46:D47),$F$34),"")</f>
        <v/>
      </c>
      <c r="D48" s="127"/>
      <c r="E48" s="126" t="str">
        <f t="shared" ref="E48" si="2">IFERROR(ROUND(AVERAGE(E46:F47),$F$34),"")</f>
        <v/>
      </c>
      <c r="F48" s="127"/>
      <c r="G48" s="126" t="str">
        <f t="shared" ref="G48" si="3">IFERROR(ROUND(AVERAGE(G46:H47),$F$34),"")</f>
        <v/>
      </c>
      <c r="H48" s="127"/>
      <c r="I48" s="126" t="str">
        <f t="shared" ref="I48" si="4">IFERROR(ROUND(AVERAGE(I46:J47),$F$34),"")</f>
        <v/>
      </c>
      <c r="J48" s="127"/>
      <c r="K48" s="34"/>
      <c r="L48" s="35"/>
      <c r="M48" s="64"/>
    </row>
    <row r="49" spans="1:13" s="3" customFormat="1" ht="46.9" customHeight="1" x14ac:dyDescent="0.2">
      <c r="A49" s="58"/>
      <c r="B49" s="19" t="s">
        <v>40</v>
      </c>
      <c r="C49" s="116"/>
      <c r="D49" s="117"/>
      <c r="E49" s="116"/>
      <c r="F49" s="117"/>
      <c r="G49" s="116"/>
      <c r="H49" s="117"/>
      <c r="I49" s="116"/>
      <c r="J49" s="117"/>
      <c r="K49" s="34"/>
      <c r="L49" s="35"/>
      <c r="M49" s="64"/>
    </row>
    <row r="50" spans="1:13" s="3" customFormat="1" ht="48.6" customHeight="1" x14ac:dyDescent="0.2">
      <c r="A50" s="58"/>
      <c r="B50" s="19" t="s">
        <v>41</v>
      </c>
      <c r="C50" s="116"/>
      <c r="D50" s="117"/>
      <c r="E50" s="116"/>
      <c r="F50" s="117"/>
      <c r="G50" s="116"/>
      <c r="H50" s="117"/>
      <c r="I50" s="116"/>
      <c r="J50" s="117"/>
      <c r="K50" s="34"/>
      <c r="L50" s="35"/>
      <c r="M50" s="64"/>
    </row>
    <row r="51" spans="1:13" s="3" customFormat="1" ht="24.95" customHeight="1" x14ac:dyDescent="0.2">
      <c r="A51" s="58"/>
      <c r="B51" s="18" t="s">
        <v>45</v>
      </c>
      <c r="C51" s="130" t="str">
        <f>IFERROR(ROUND(AVERAGE(C49:C50),$F$34),"")</f>
        <v/>
      </c>
      <c r="D51" s="131"/>
      <c r="E51" s="130" t="str">
        <f>IFERROR(ROUND(AVERAGE(E49:E50),$F$34),"")</f>
        <v/>
      </c>
      <c r="F51" s="131"/>
      <c r="G51" s="130" t="str">
        <f>IFERROR(ROUND(AVERAGE(G49:G50),$F$34),"")</f>
        <v/>
      </c>
      <c r="H51" s="131"/>
      <c r="I51" s="130" t="str">
        <f>IFERROR(ROUND(AVERAGE(I49:I50),$F$34),"")</f>
        <v/>
      </c>
      <c r="J51" s="131"/>
      <c r="K51" s="34"/>
      <c r="L51" s="35"/>
      <c r="M51" s="64"/>
    </row>
    <row r="52" spans="1:13" s="3" customFormat="1" ht="24.95" customHeight="1" x14ac:dyDescent="0.2">
      <c r="A52" s="58"/>
      <c r="B52" s="18" t="s">
        <v>36</v>
      </c>
      <c r="C52" s="130" t="str">
        <f>IFERROR(ROUND(C48/C51,5),"")</f>
        <v/>
      </c>
      <c r="D52" s="131"/>
      <c r="E52" s="130" t="str">
        <f>IFERROR(ROUND(E48/E51,5),"")</f>
        <v/>
      </c>
      <c r="F52" s="131"/>
      <c r="G52" s="130" t="str">
        <f>IFERROR(ROUND(G48/G51,5),"")</f>
        <v/>
      </c>
      <c r="H52" s="131"/>
      <c r="I52" s="130" t="str">
        <f>IFERROR(ROUND(I48/I51,5),"")</f>
        <v/>
      </c>
      <c r="J52" s="131"/>
      <c r="K52" s="34"/>
      <c r="L52" s="35"/>
      <c r="M52" s="64"/>
    </row>
    <row r="53" spans="1:13" s="3" customFormat="1" ht="24.95" customHeight="1" x14ac:dyDescent="0.2">
      <c r="A53" s="58"/>
      <c r="B53" s="18" t="s">
        <v>27</v>
      </c>
      <c r="C53" s="132" t="str">
        <f>IFERROR(ROUND(C52/$E$33*$C$20/$D$20*$E$20/$F$20*$G$20/$H$20*$I$20/$J$20*$C$38/C44*$E$38/$D$38*$G$38/$F$38*$I$38/$H$38*$E$14/100*$E$15/$E$16*100,2),"")</f>
        <v/>
      </c>
      <c r="D53" s="133"/>
      <c r="E53" s="132" t="str">
        <f>IFERROR(ROUND(E52/$E$33*$C$20/$D$20*$E$20/$F$20*$G$20/$H$20*$I$20/$J$20*$C$38/E44*$E$38/$D$38*$G$38/$F$38*$I$38/$H$38*$E$14/100*$E$15/$E$16*100,2),"")</f>
        <v/>
      </c>
      <c r="F53" s="133"/>
      <c r="G53" s="132" t="str">
        <f>IFERROR(ROUND(G52/$E$33*$C$20/$D$20*$E$20/$F$20*$G$20/$H$20*$I$20/$J$20*$C$38/G44*$E$38/$D$38*$G$38/$F$38*$I$38/$H$38*$E$14/100*$E$15/$E$16*100,2),"")</f>
        <v/>
      </c>
      <c r="H53" s="133"/>
      <c r="I53" s="132" t="str">
        <f>IFERROR(ROUND(I52/$E$33*$C$20/$D$20*$E$20/$F$20*$G$20/$H$20*$I$20/$J$20*$C$38/I44*$E$38/$D$38*$G$38/$F$38*$I$38/$H$38*$E$14/100*$E$15/$E$16*100,2),"")</f>
        <v/>
      </c>
      <c r="J53" s="133"/>
      <c r="K53" s="34"/>
      <c r="L53" s="35"/>
      <c r="M53" s="64"/>
    </row>
    <row r="54" spans="1:13" s="3" customFormat="1" ht="24.95" customHeight="1" x14ac:dyDescent="0.2">
      <c r="A54" s="58"/>
      <c r="B54" s="18" t="s">
        <v>28</v>
      </c>
      <c r="C54" s="132" t="str">
        <f>IFERROR(ROUND(C52/$E$33*$C$20/$D$20*$E$20/$F$20*$G$20/$H$20*$I$20/$J$20*$C$38/C44*$E$38/$D$38*$G$38/$F$38*$I$38/$H$38*$E$14/100*$E$15/$E$16*100/(100-C45)*100,2),"")</f>
        <v/>
      </c>
      <c r="D54" s="133"/>
      <c r="E54" s="132" t="str">
        <f t="shared" ref="E54" si="5">IFERROR(ROUND(E52/$E$33*$C$20/$D$20*$E$20/$F$20*$G$20/$H$20*$I$20/$J$20*$C$38/E44*$E$38/$D$38*$G$38/$F$38*$I$38/$H$38*$E$14/100*$E$15/$E$16*100/(100-E45)*100,2),"")</f>
        <v/>
      </c>
      <c r="F54" s="133"/>
      <c r="G54" s="132" t="str">
        <f t="shared" ref="G54" si="6">IFERROR(ROUND(G52/$E$33*$C$20/$D$20*$E$20/$F$20*$G$20/$H$20*$I$20/$J$20*$C$38/G44*$E$38/$D$38*$G$38/$F$38*$I$38/$H$38*$E$14/100*$E$15/$E$16*100/(100-G45)*100,2),"")</f>
        <v/>
      </c>
      <c r="H54" s="133"/>
      <c r="I54" s="132" t="str">
        <f t="shared" ref="I54" si="7">IFERROR(ROUND(I52/$E$33*$C$20/$D$20*$E$20/$F$20*$G$20/$H$20*$I$20/$J$20*$C$38/I44*$E$38/$D$38*$G$38/$F$38*$I$38/$H$38*$E$14/100*$E$15/$E$16*100/(100-I45)*100,2),"")</f>
        <v/>
      </c>
      <c r="J54" s="133"/>
      <c r="K54" s="34"/>
      <c r="L54" s="35"/>
      <c r="M54" s="64"/>
    </row>
    <row r="55" spans="1:13" s="3" customFormat="1" ht="24.95" customHeight="1" x14ac:dyDescent="0.2">
      <c r="A55" s="58"/>
      <c r="B55" s="39" t="s">
        <v>29</v>
      </c>
      <c r="C55" s="39"/>
      <c r="D55" s="39"/>
      <c r="E55" s="39"/>
      <c r="F55" s="39"/>
      <c r="G55" s="39"/>
      <c r="H55" s="39"/>
      <c r="I55" s="39"/>
      <c r="J55" s="40"/>
      <c r="K55" s="34"/>
      <c r="L55" s="35"/>
      <c r="M55" s="64"/>
    </row>
    <row r="56" spans="1:13" s="3" customFormat="1" ht="24.95" customHeight="1" x14ac:dyDescent="0.2">
      <c r="A56" s="58"/>
      <c r="B56" s="71"/>
      <c r="C56" s="72"/>
      <c r="D56" s="72"/>
      <c r="E56" s="72"/>
      <c r="F56" s="72"/>
      <c r="G56" s="72"/>
      <c r="H56" s="72"/>
      <c r="I56" s="72"/>
      <c r="J56" s="72"/>
      <c r="K56" s="34"/>
      <c r="L56" s="35"/>
      <c r="M56" s="64"/>
    </row>
    <row r="57" spans="1:13" s="3" customFormat="1" ht="24.95" customHeight="1" x14ac:dyDescent="0.2">
      <c r="A57" s="58"/>
      <c r="B57" s="31" t="str">
        <f ca="1">CELL("filename")</f>
        <v>C:\Users\ADMIN\Desktop\[001_Assay by HPLC_Ratio - Blank sheet.xlsx]Assay</v>
      </c>
      <c r="C57" s="31"/>
      <c r="D57" s="31"/>
      <c r="E57" s="31"/>
      <c r="F57" s="31"/>
      <c r="G57" s="31"/>
      <c r="H57" s="38">
        <f ca="1">TODAY()</f>
        <v>46122</v>
      </c>
      <c r="I57" s="38"/>
      <c r="J57" s="20">
        <f ca="1">NOW()</f>
        <v>46122.642579513886</v>
      </c>
      <c r="K57" s="34"/>
      <c r="L57" s="35"/>
      <c r="M57" s="64"/>
    </row>
    <row r="58" spans="1:13" s="3" customFormat="1" ht="24.95" customHeight="1" x14ac:dyDescent="0.2">
      <c r="A58" s="58"/>
      <c r="B58" s="41"/>
      <c r="C58" s="42"/>
      <c r="D58" s="42"/>
      <c r="E58" s="42"/>
      <c r="F58" s="42"/>
      <c r="G58" s="42"/>
      <c r="H58" s="42"/>
      <c r="I58" s="42"/>
      <c r="J58" s="42"/>
      <c r="K58" s="43"/>
      <c r="L58" s="43"/>
      <c r="M58" s="64"/>
    </row>
    <row r="59" spans="1:13" s="3" customFormat="1" ht="15.75" customHeight="1" x14ac:dyDescent="0.2">
      <c r="A59" s="58"/>
      <c r="B59" s="48" t="s">
        <v>16</v>
      </c>
      <c r="C59" s="34"/>
      <c r="D59" s="34"/>
      <c r="E59" s="34"/>
      <c r="F59" s="34"/>
      <c r="G59" s="34"/>
      <c r="H59" s="34"/>
      <c r="I59" s="34"/>
      <c r="J59" s="34"/>
      <c r="K59" s="34"/>
      <c r="L59" s="35"/>
      <c r="M59" s="64"/>
    </row>
    <row r="60" spans="1:13" s="3" customFormat="1" ht="17.25" customHeight="1" x14ac:dyDescent="0.2">
      <c r="A60" s="58"/>
      <c r="B60" s="21" t="s">
        <v>2</v>
      </c>
      <c r="C60" s="34"/>
      <c r="D60" s="34"/>
      <c r="E60" s="34"/>
      <c r="F60" s="34"/>
      <c r="G60" s="34"/>
      <c r="H60" s="34"/>
      <c r="I60" s="22" t="s">
        <v>3</v>
      </c>
      <c r="J60" s="46"/>
      <c r="K60" s="46"/>
      <c r="L60" s="35"/>
      <c r="M60" s="64"/>
    </row>
    <row r="61" spans="1:13" s="3" customFormat="1" ht="13.5" customHeight="1" x14ac:dyDescent="0.2">
      <c r="A61" s="58"/>
      <c r="B61" s="21" t="s">
        <v>30</v>
      </c>
      <c r="C61" s="34"/>
      <c r="D61" s="34"/>
      <c r="E61" s="34"/>
      <c r="F61" s="34"/>
      <c r="G61" s="34"/>
      <c r="H61" s="34"/>
      <c r="I61" s="22" t="s">
        <v>14</v>
      </c>
      <c r="J61" s="46"/>
      <c r="K61" s="46"/>
      <c r="L61" s="35"/>
      <c r="M61" s="64"/>
    </row>
    <row r="62" spans="1:13" s="23" customFormat="1" ht="18.75" x14ac:dyDescent="0.2">
      <c r="A62" s="58"/>
      <c r="B62" s="44"/>
      <c r="C62" s="45"/>
      <c r="D62" s="45"/>
      <c r="E62" s="45"/>
      <c r="F62" s="45"/>
      <c r="G62" s="45"/>
      <c r="H62" s="45"/>
      <c r="I62" s="45"/>
      <c r="J62" s="45"/>
      <c r="K62" s="45"/>
      <c r="L62" s="37"/>
      <c r="M62" s="64"/>
    </row>
    <row r="63" spans="1:13" s="3" customFormat="1" ht="16.5" thickBot="1" x14ac:dyDescent="0.25">
      <c r="A63" s="65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7"/>
    </row>
    <row r="64" spans="1:13" s="3" customFormat="1" x14ac:dyDescent="0.2">
      <c r="D64" s="23"/>
      <c r="I64" s="23"/>
    </row>
    <row r="65" spans="4:4" s="3" customFormat="1" x14ac:dyDescent="0.2">
      <c r="D65" s="23"/>
    </row>
    <row r="66" spans="4:4" s="3" customFormat="1" x14ac:dyDescent="0.2">
      <c r="D66" s="23"/>
    </row>
    <row r="67" spans="4:4" s="3" customFormat="1" x14ac:dyDescent="0.2"/>
    <row r="68" spans="4:4" s="3" customFormat="1" x14ac:dyDescent="0.2"/>
    <row r="69" spans="4:4" s="3" customFormat="1" x14ac:dyDescent="0.2"/>
    <row r="70" spans="4:4" s="3" customFormat="1" x14ac:dyDescent="0.2"/>
    <row r="71" spans="4:4" s="3" customFormat="1" x14ac:dyDescent="0.2"/>
    <row r="72" spans="4:4" s="3" customFormat="1" x14ac:dyDescent="0.2"/>
    <row r="73" spans="4:4" s="3" customFormat="1" x14ac:dyDescent="0.2"/>
    <row r="74" spans="4:4" s="3" customFormat="1" x14ac:dyDescent="0.2"/>
    <row r="75" spans="4:4" s="3" customFormat="1" x14ac:dyDescent="0.2"/>
    <row r="76" spans="4:4" s="3" customFormat="1" x14ac:dyDescent="0.2"/>
    <row r="77" spans="4:4" s="3" customFormat="1" x14ac:dyDescent="0.2"/>
    <row r="78" spans="4:4" s="3" customFormat="1" x14ac:dyDescent="0.2"/>
    <row r="79" spans="4:4" s="3" customFormat="1" x14ac:dyDescent="0.2"/>
    <row r="80" spans="4:4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pans="2:7" s="3" customFormat="1" x14ac:dyDescent="0.2"/>
    <row r="130" spans="2:7" s="3" customFormat="1" x14ac:dyDescent="0.2"/>
    <row r="131" spans="2:7" s="3" customFormat="1" x14ac:dyDescent="0.2"/>
    <row r="132" spans="2:7" s="3" customFormat="1" x14ac:dyDescent="0.2"/>
    <row r="133" spans="2:7" s="3" customFormat="1" x14ac:dyDescent="0.2"/>
    <row r="134" spans="2:7" s="3" customFormat="1" x14ac:dyDescent="0.2"/>
    <row r="135" spans="2:7" s="3" customFormat="1" x14ac:dyDescent="0.2"/>
    <row r="136" spans="2:7" s="3" customFormat="1" x14ac:dyDescent="0.2"/>
    <row r="137" spans="2:7" s="3" customFormat="1" x14ac:dyDescent="0.2"/>
    <row r="138" spans="2:7" s="3" customFormat="1" x14ac:dyDescent="0.2"/>
    <row r="139" spans="2:7" s="3" customFormat="1" x14ac:dyDescent="0.2"/>
    <row r="140" spans="2:7" s="3" customFormat="1" x14ac:dyDescent="0.2">
      <c r="B140" s="24"/>
      <c r="C140" s="24"/>
      <c r="D140" s="24"/>
      <c r="E140" s="24"/>
      <c r="F140" s="24"/>
      <c r="G140" s="24"/>
    </row>
    <row r="141" spans="2:7" s="3" customFormat="1" x14ac:dyDescent="0.2">
      <c r="B141" s="24"/>
      <c r="C141" s="24"/>
      <c r="D141" s="24"/>
      <c r="E141" s="24"/>
      <c r="F141" s="24"/>
      <c r="G141" s="24"/>
    </row>
    <row r="142" spans="2:7" s="3" customFormat="1" x14ac:dyDescent="0.2">
      <c r="B142" s="24"/>
      <c r="C142" s="24"/>
      <c r="D142" s="24"/>
      <c r="E142" s="24"/>
      <c r="F142" s="24"/>
      <c r="G142" s="24"/>
    </row>
    <row r="143" spans="2:7" s="3" customFormat="1" x14ac:dyDescent="0.2">
      <c r="B143" s="24"/>
      <c r="C143" s="24"/>
      <c r="D143" s="24"/>
      <c r="E143" s="24"/>
      <c r="F143" s="24"/>
      <c r="G143" s="24"/>
    </row>
    <row r="144" spans="2:7" s="3" customFormat="1" x14ac:dyDescent="0.2">
      <c r="B144" s="24"/>
      <c r="C144" s="24"/>
      <c r="D144" s="24"/>
      <c r="E144" s="24"/>
      <c r="F144" s="24"/>
      <c r="G144" s="24"/>
    </row>
    <row r="145" spans="2:7" s="3" customFormat="1" x14ac:dyDescent="0.2">
      <c r="B145" s="24"/>
      <c r="C145" s="24"/>
      <c r="D145" s="24"/>
      <c r="E145" s="24"/>
      <c r="F145" s="24"/>
      <c r="G145" s="24"/>
    </row>
    <row r="146" spans="2:7" s="3" customFormat="1" x14ac:dyDescent="0.2">
      <c r="B146" s="24"/>
      <c r="C146" s="24"/>
      <c r="D146" s="24"/>
      <c r="E146" s="24"/>
      <c r="F146" s="24"/>
      <c r="G146" s="24"/>
    </row>
    <row r="147" spans="2:7" s="3" customFormat="1" x14ac:dyDescent="0.2">
      <c r="B147" s="24"/>
      <c r="C147" s="24"/>
      <c r="D147" s="24"/>
      <c r="E147" s="24"/>
      <c r="F147" s="24"/>
      <c r="G147" s="24"/>
    </row>
    <row r="148" spans="2:7" s="3" customFormat="1" x14ac:dyDescent="0.2">
      <c r="B148" s="24"/>
      <c r="C148" s="24"/>
      <c r="D148" s="24"/>
      <c r="E148" s="24"/>
      <c r="F148" s="24"/>
      <c r="G148" s="24"/>
    </row>
    <row r="149" spans="2:7" s="3" customFormat="1" x14ac:dyDescent="0.2">
      <c r="B149" s="24"/>
      <c r="C149" s="24"/>
      <c r="D149" s="24"/>
      <c r="E149" s="24"/>
      <c r="F149" s="24"/>
      <c r="G149" s="24"/>
    </row>
    <row r="150" spans="2:7" s="3" customFormat="1" x14ac:dyDescent="0.2">
      <c r="B150" s="24"/>
      <c r="C150" s="24"/>
      <c r="D150" s="24"/>
      <c r="E150" s="24"/>
      <c r="F150" s="24"/>
      <c r="G150" s="24"/>
    </row>
    <row r="151" spans="2:7" s="3" customFormat="1" x14ac:dyDescent="0.2">
      <c r="B151" s="24"/>
      <c r="C151" s="24"/>
      <c r="D151" s="24"/>
      <c r="E151" s="24"/>
      <c r="F151" s="24"/>
      <c r="G151" s="24"/>
    </row>
    <row r="152" spans="2:7" s="3" customFormat="1" x14ac:dyDescent="0.2">
      <c r="B152" s="24"/>
      <c r="C152" s="24"/>
      <c r="D152" s="24"/>
      <c r="E152" s="24"/>
      <c r="F152" s="24"/>
      <c r="G152" s="24"/>
    </row>
    <row r="153" spans="2:7" s="3" customFormat="1" x14ac:dyDescent="0.2">
      <c r="B153" s="24"/>
      <c r="C153" s="24"/>
      <c r="D153" s="24"/>
      <c r="E153" s="24"/>
      <c r="F153" s="24"/>
      <c r="G153" s="24"/>
    </row>
    <row r="154" spans="2:7" s="3" customFormat="1" x14ac:dyDescent="0.2">
      <c r="B154" s="24"/>
      <c r="C154" s="24"/>
      <c r="D154" s="24"/>
      <c r="E154" s="24"/>
      <c r="F154" s="24"/>
      <c r="G154" s="24"/>
    </row>
    <row r="155" spans="2:7" s="3" customFormat="1" x14ac:dyDescent="0.2">
      <c r="B155" s="24"/>
      <c r="C155" s="24"/>
      <c r="D155" s="24"/>
      <c r="E155" s="24"/>
      <c r="F155" s="24"/>
      <c r="G155" s="24"/>
    </row>
    <row r="156" spans="2:7" s="3" customFormat="1" x14ac:dyDescent="0.2">
      <c r="B156" s="24"/>
      <c r="C156" s="24"/>
      <c r="D156" s="24"/>
      <c r="E156" s="24"/>
      <c r="F156" s="24"/>
      <c r="G156" s="24"/>
    </row>
    <row r="157" spans="2:7" s="3" customFormat="1" x14ac:dyDescent="0.2">
      <c r="B157" s="24"/>
      <c r="C157" s="24"/>
      <c r="D157" s="24"/>
      <c r="E157" s="24"/>
      <c r="F157" s="24"/>
      <c r="G157" s="24"/>
    </row>
    <row r="158" spans="2:7" s="3" customFormat="1" x14ac:dyDescent="0.2">
      <c r="B158" s="24"/>
      <c r="C158" s="24"/>
      <c r="D158" s="24"/>
      <c r="E158" s="24"/>
      <c r="F158" s="24"/>
      <c r="G158" s="24"/>
    </row>
    <row r="159" spans="2:7" s="3" customFormat="1" x14ac:dyDescent="0.2">
      <c r="B159" s="24"/>
      <c r="C159" s="24"/>
      <c r="D159" s="24"/>
      <c r="E159" s="24"/>
      <c r="F159" s="24"/>
      <c r="G159" s="24"/>
    </row>
    <row r="160" spans="2:7" s="3" customFormat="1" x14ac:dyDescent="0.2">
      <c r="B160" s="24"/>
      <c r="C160" s="24"/>
      <c r="D160" s="24"/>
      <c r="E160" s="24"/>
      <c r="F160" s="24"/>
      <c r="G160" s="24"/>
    </row>
    <row r="161" spans="2:7" s="3" customFormat="1" x14ac:dyDescent="0.2">
      <c r="B161" s="24"/>
      <c r="C161" s="24"/>
      <c r="D161" s="24"/>
      <c r="E161" s="24"/>
      <c r="F161" s="24"/>
      <c r="G161" s="24"/>
    </row>
    <row r="162" spans="2:7" s="3" customFormat="1" x14ac:dyDescent="0.2">
      <c r="B162" s="24"/>
      <c r="C162" s="24"/>
      <c r="D162" s="24"/>
      <c r="E162" s="24"/>
      <c r="F162" s="24"/>
      <c r="G162" s="24"/>
    </row>
    <row r="163" spans="2:7" s="3" customFormat="1" x14ac:dyDescent="0.2">
      <c r="B163" s="24"/>
      <c r="C163" s="24"/>
      <c r="D163" s="24"/>
      <c r="E163" s="24"/>
      <c r="F163" s="24"/>
      <c r="G163" s="24"/>
    </row>
    <row r="164" spans="2:7" s="3" customFormat="1" x14ac:dyDescent="0.2">
      <c r="B164" s="24"/>
      <c r="C164" s="24"/>
      <c r="D164" s="24"/>
      <c r="E164" s="24"/>
      <c r="F164" s="24"/>
      <c r="G164" s="24"/>
    </row>
    <row r="165" spans="2:7" s="3" customFormat="1" x14ac:dyDescent="0.2">
      <c r="B165" s="24"/>
      <c r="C165" s="24"/>
      <c r="D165" s="24"/>
      <c r="E165" s="24"/>
      <c r="F165" s="24"/>
      <c r="G165" s="24"/>
    </row>
    <row r="166" spans="2:7" s="3" customFormat="1" x14ac:dyDescent="0.2">
      <c r="B166" s="24"/>
      <c r="C166" s="24"/>
      <c r="D166" s="24"/>
      <c r="E166" s="24"/>
      <c r="F166" s="24"/>
      <c r="G166" s="24"/>
    </row>
    <row r="167" spans="2:7" s="3" customFormat="1" x14ac:dyDescent="0.2">
      <c r="B167" s="24"/>
      <c r="C167" s="24"/>
      <c r="D167" s="24"/>
      <c r="E167" s="24"/>
      <c r="F167" s="24"/>
      <c r="G167" s="24"/>
    </row>
    <row r="168" spans="2:7" x14ac:dyDescent="0.2">
      <c r="B168" s="25"/>
      <c r="C168" s="25"/>
      <c r="D168" s="25"/>
      <c r="E168" s="25"/>
      <c r="F168" s="25"/>
      <c r="G168" s="25"/>
    </row>
    <row r="169" spans="2:7" x14ac:dyDescent="0.2">
      <c r="B169" s="25"/>
      <c r="C169" s="25"/>
      <c r="D169" s="25"/>
      <c r="E169" s="25"/>
      <c r="F169" s="25"/>
      <c r="G169" s="25"/>
    </row>
    <row r="170" spans="2:7" x14ac:dyDescent="0.2">
      <c r="B170" s="25"/>
      <c r="C170" s="25"/>
      <c r="D170" s="25"/>
      <c r="E170" s="25"/>
      <c r="F170" s="25"/>
      <c r="G170" s="25"/>
    </row>
    <row r="171" spans="2:7" x14ac:dyDescent="0.2">
      <c r="B171" s="25"/>
      <c r="C171" s="25"/>
      <c r="D171" s="25"/>
      <c r="E171" s="25"/>
      <c r="F171" s="25"/>
      <c r="G171" s="25"/>
    </row>
    <row r="172" spans="2:7" x14ac:dyDescent="0.2">
      <c r="B172" s="25"/>
      <c r="C172" s="25"/>
      <c r="D172" s="25"/>
      <c r="E172" s="25"/>
      <c r="F172" s="25"/>
      <c r="G172" s="25"/>
    </row>
    <row r="173" spans="2:7" x14ac:dyDescent="0.2">
      <c r="B173" s="25"/>
      <c r="C173" s="25"/>
      <c r="D173" s="25"/>
      <c r="E173" s="25"/>
      <c r="F173" s="25"/>
      <c r="G173" s="25"/>
    </row>
    <row r="174" spans="2:7" x14ac:dyDescent="0.2">
      <c r="B174" s="25"/>
      <c r="C174" s="25"/>
      <c r="D174" s="25"/>
      <c r="E174" s="25"/>
      <c r="F174" s="25"/>
      <c r="G174" s="25"/>
    </row>
    <row r="175" spans="2:7" x14ac:dyDescent="0.2">
      <c r="B175" s="25"/>
      <c r="C175" s="25"/>
      <c r="D175" s="25"/>
      <c r="E175" s="25"/>
      <c r="F175" s="25"/>
      <c r="G175" s="25"/>
    </row>
    <row r="176" spans="2:7" x14ac:dyDescent="0.2">
      <c r="B176" s="25"/>
      <c r="C176" s="25"/>
      <c r="D176" s="25"/>
      <c r="E176" s="25"/>
      <c r="F176" s="25"/>
      <c r="G176" s="25"/>
    </row>
    <row r="177" spans="2:7" x14ac:dyDescent="0.2">
      <c r="B177" s="25"/>
      <c r="C177" s="25"/>
      <c r="D177" s="25"/>
      <c r="E177" s="25"/>
      <c r="F177" s="25"/>
      <c r="G177" s="25"/>
    </row>
    <row r="178" spans="2:7" x14ac:dyDescent="0.2">
      <c r="B178" s="25"/>
      <c r="C178" s="25"/>
      <c r="D178" s="25"/>
      <c r="E178" s="25"/>
      <c r="F178" s="25"/>
      <c r="G178" s="25"/>
    </row>
    <row r="179" spans="2:7" x14ac:dyDescent="0.2">
      <c r="B179" s="25"/>
      <c r="C179" s="25"/>
      <c r="D179" s="25"/>
      <c r="E179" s="25"/>
      <c r="F179" s="25"/>
      <c r="G179" s="25"/>
    </row>
    <row r="180" spans="2:7" x14ac:dyDescent="0.2">
      <c r="B180" s="25"/>
      <c r="C180" s="25"/>
      <c r="D180" s="25"/>
      <c r="E180" s="25"/>
      <c r="F180" s="25"/>
      <c r="G180" s="25"/>
    </row>
    <row r="181" spans="2:7" x14ac:dyDescent="0.2">
      <c r="B181" s="25"/>
      <c r="C181" s="25"/>
      <c r="D181" s="25"/>
      <c r="E181" s="25"/>
      <c r="F181" s="25"/>
      <c r="G181" s="25"/>
    </row>
    <row r="182" spans="2:7" x14ac:dyDescent="0.2">
      <c r="B182" s="25"/>
      <c r="C182" s="25"/>
      <c r="D182" s="25"/>
      <c r="E182" s="25"/>
      <c r="F182" s="25"/>
      <c r="G182" s="25"/>
    </row>
    <row r="183" spans="2:7" x14ac:dyDescent="0.2">
      <c r="B183" s="25"/>
      <c r="C183" s="25"/>
      <c r="D183" s="25"/>
      <c r="E183" s="25"/>
      <c r="F183" s="25"/>
      <c r="G183" s="25"/>
    </row>
    <row r="184" spans="2:7" x14ac:dyDescent="0.2">
      <c r="B184" s="25"/>
      <c r="C184" s="25"/>
      <c r="D184" s="25"/>
      <c r="E184" s="25"/>
      <c r="F184" s="25"/>
      <c r="G184" s="25"/>
    </row>
    <row r="185" spans="2:7" x14ac:dyDescent="0.2">
      <c r="B185" s="25"/>
      <c r="C185" s="25"/>
      <c r="D185" s="25"/>
      <c r="E185" s="25"/>
      <c r="F185" s="25"/>
      <c r="G185" s="25"/>
    </row>
    <row r="186" spans="2:7" x14ac:dyDescent="0.2">
      <c r="B186" s="25"/>
      <c r="C186" s="25"/>
      <c r="D186" s="25"/>
      <c r="E186" s="25"/>
      <c r="F186" s="25"/>
      <c r="G186" s="25"/>
    </row>
    <row r="187" spans="2:7" x14ac:dyDescent="0.2">
      <c r="B187" s="25"/>
      <c r="C187" s="25"/>
      <c r="D187" s="25"/>
      <c r="E187" s="25"/>
      <c r="F187" s="25"/>
      <c r="G187" s="25"/>
    </row>
    <row r="188" spans="2:7" x14ac:dyDescent="0.2">
      <c r="B188" s="25"/>
      <c r="C188" s="25"/>
      <c r="D188" s="25"/>
      <c r="E188" s="25"/>
      <c r="F188" s="25"/>
      <c r="G188" s="25"/>
    </row>
    <row r="189" spans="2:7" x14ac:dyDescent="0.2">
      <c r="B189" s="25"/>
      <c r="C189" s="25"/>
      <c r="D189" s="25"/>
      <c r="E189" s="25"/>
      <c r="F189" s="25"/>
      <c r="G189" s="25"/>
    </row>
    <row r="190" spans="2:7" x14ac:dyDescent="0.2">
      <c r="B190" s="25"/>
      <c r="C190" s="25"/>
      <c r="D190" s="25"/>
      <c r="E190" s="25"/>
      <c r="F190" s="25"/>
      <c r="G190" s="25"/>
    </row>
    <row r="191" spans="2:7" x14ac:dyDescent="0.2">
      <c r="B191" s="25"/>
      <c r="C191" s="25"/>
      <c r="D191" s="25"/>
      <c r="E191" s="25"/>
      <c r="F191" s="25"/>
      <c r="G191" s="25"/>
    </row>
    <row r="192" spans="2:7" x14ac:dyDescent="0.2">
      <c r="B192" s="25"/>
      <c r="C192" s="25"/>
      <c r="D192" s="25"/>
      <c r="E192" s="25"/>
      <c r="F192" s="25"/>
      <c r="G192" s="25"/>
    </row>
    <row r="193" spans="2:7" x14ac:dyDescent="0.2">
      <c r="B193" s="25"/>
      <c r="C193" s="25"/>
      <c r="D193" s="25"/>
      <c r="E193" s="25"/>
      <c r="F193" s="25"/>
      <c r="G193" s="25"/>
    </row>
    <row r="194" spans="2:7" x14ac:dyDescent="0.2">
      <c r="B194" s="25"/>
      <c r="C194" s="25"/>
      <c r="D194" s="25"/>
      <c r="E194" s="25"/>
      <c r="F194" s="25"/>
      <c r="G194" s="25"/>
    </row>
    <row r="195" spans="2:7" x14ac:dyDescent="0.2">
      <c r="B195" s="25"/>
      <c r="C195" s="25"/>
      <c r="D195" s="25"/>
      <c r="E195" s="25"/>
      <c r="F195" s="25"/>
      <c r="G195" s="25"/>
    </row>
    <row r="196" spans="2:7" x14ac:dyDescent="0.2">
      <c r="B196" s="25"/>
      <c r="C196" s="25"/>
      <c r="D196" s="25"/>
      <c r="E196" s="25"/>
      <c r="F196" s="25"/>
      <c r="G196" s="25"/>
    </row>
    <row r="197" spans="2:7" x14ac:dyDescent="0.2">
      <c r="B197" s="25"/>
      <c r="C197" s="25"/>
      <c r="D197" s="25"/>
      <c r="E197" s="25"/>
      <c r="F197" s="25"/>
      <c r="G197" s="25"/>
    </row>
    <row r="198" spans="2:7" x14ac:dyDescent="0.2">
      <c r="B198" s="25"/>
      <c r="C198" s="25"/>
      <c r="D198" s="25"/>
      <c r="E198" s="25"/>
      <c r="F198" s="25"/>
      <c r="G198" s="25"/>
    </row>
    <row r="199" spans="2:7" x14ac:dyDescent="0.2">
      <c r="B199" s="25"/>
      <c r="C199" s="25"/>
      <c r="D199" s="25"/>
      <c r="E199" s="25"/>
      <c r="F199" s="25"/>
      <c r="G199" s="25"/>
    </row>
    <row r="200" spans="2:7" x14ac:dyDescent="0.2">
      <c r="B200" s="25"/>
      <c r="C200" s="25"/>
      <c r="D200" s="25"/>
      <c r="E200" s="25"/>
      <c r="F200" s="25"/>
      <c r="G200" s="25"/>
    </row>
    <row r="201" spans="2:7" x14ac:dyDescent="0.2">
      <c r="B201" s="25"/>
      <c r="C201" s="25"/>
      <c r="D201" s="25"/>
      <c r="E201" s="25"/>
      <c r="F201" s="25"/>
      <c r="G201" s="25"/>
    </row>
    <row r="202" spans="2:7" x14ac:dyDescent="0.2">
      <c r="B202" s="25"/>
      <c r="C202" s="25"/>
      <c r="D202" s="25"/>
      <c r="E202" s="25"/>
      <c r="F202" s="25"/>
      <c r="G202" s="25"/>
    </row>
    <row r="203" spans="2:7" x14ac:dyDescent="0.2">
      <c r="B203" s="25"/>
      <c r="C203" s="25"/>
      <c r="D203" s="25"/>
      <c r="E203" s="25"/>
      <c r="F203" s="25"/>
      <c r="G203" s="25"/>
    </row>
    <row r="204" spans="2:7" x14ac:dyDescent="0.2">
      <c r="B204" s="25"/>
      <c r="C204" s="25"/>
      <c r="D204" s="25"/>
      <c r="E204" s="25"/>
      <c r="F204" s="25"/>
      <c r="G204" s="25"/>
    </row>
    <row r="205" spans="2:7" x14ac:dyDescent="0.2">
      <c r="B205" s="25"/>
      <c r="C205" s="25"/>
      <c r="D205" s="25"/>
      <c r="E205" s="25"/>
      <c r="F205" s="25"/>
      <c r="G205" s="25"/>
    </row>
    <row r="206" spans="2:7" x14ac:dyDescent="0.2">
      <c r="B206" s="25"/>
      <c r="C206" s="25"/>
      <c r="D206" s="25"/>
      <c r="E206" s="25"/>
      <c r="F206" s="25"/>
      <c r="G206" s="25"/>
    </row>
    <row r="207" spans="2:7" x14ac:dyDescent="0.2">
      <c r="B207" s="25"/>
      <c r="C207" s="25"/>
      <c r="D207" s="25"/>
      <c r="E207" s="25"/>
      <c r="F207" s="25"/>
      <c r="G207" s="25"/>
    </row>
    <row r="208" spans="2:7" x14ac:dyDescent="0.2">
      <c r="B208" s="25"/>
      <c r="C208" s="25"/>
      <c r="D208" s="25"/>
      <c r="E208" s="25"/>
      <c r="F208" s="25"/>
      <c r="G208" s="25"/>
    </row>
    <row r="209" spans="2:7" x14ac:dyDescent="0.2">
      <c r="B209" s="25"/>
      <c r="C209" s="25"/>
      <c r="D209" s="25"/>
      <c r="E209" s="25"/>
      <c r="F209" s="25"/>
      <c r="G209" s="25"/>
    </row>
    <row r="210" spans="2:7" x14ac:dyDescent="0.2">
      <c r="B210" s="25"/>
      <c r="C210" s="25"/>
      <c r="D210" s="25"/>
      <c r="E210" s="25"/>
      <c r="F210" s="25"/>
      <c r="G210" s="25"/>
    </row>
    <row r="211" spans="2:7" x14ac:dyDescent="0.2">
      <c r="B211" s="25"/>
      <c r="C211" s="25"/>
      <c r="D211" s="25"/>
      <c r="E211" s="25"/>
      <c r="F211" s="25"/>
      <c r="G211" s="25"/>
    </row>
    <row r="212" spans="2:7" x14ac:dyDescent="0.2">
      <c r="B212" s="25"/>
      <c r="C212" s="25"/>
      <c r="D212" s="25"/>
      <c r="E212" s="25"/>
      <c r="F212" s="25"/>
      <c r="G212" s="25"/>
    </row>
    <row r="213" spans="2:7" x14ac:dyDescent="0.2">
      <c r="B213" s="25"/>
      <c r="C213" s="25"/>
      <c r="D213" s="25"/>
      <c r="E213" s="25"/>
      <c r="F213" s="25"/>
      <c r="G213" s="25"/>
    </row>
    <row r="214" spans="2:7" x14ac:dyDescent="0.2">
      <c r="B214" s="25"/>
      <c r="C214" s="25"/>
      <c r="D214" s="25"/>
      <c r="E214" s="25"/>
      <c r="F214" s="25"/>
      <c r="G214" s="25"/>
    </row>
    <row r="215" spans="2:7" x14ac:dyDescent="0.2">
      <c r="B215" s="25"/>
      <c r="C215" s="25"/>
      <c r="D215" s="25"/>
      <c r="E215" s="25"/>
      <c r="F215" s="25"/>
      <c r="G215" s="25"/>
    </row>
    <row r="216" spans="2:7" x14ac:dyDescent="0.2">
      <c r="B216" s="25"/>
      <c r="C216" s="25"/>
      <c r="D216" s="25"/>
      <c r="E216" s="25"/>
      <c r="F216" s="25"/>
      <c r="G216" s="25"/>
    </row>
    <row r="217" spans="2:7" x14ac:dyDescent="0.2">
      <c r="B217" s="25"/>
      <c r="C217" s="25"/>
      <c r="D217" s="25"/>
      <c r="E217" s="25"/>
      <c r="F217" s="25"/>
      <c r="G217" s="25"/>
    </row>
    <row r="218" spans="2:7" x14ac:dyDescent="0.2">
      <c r="B218" s="25"/>
      <c r="C218" s="25"/>
      <c r="D218" s="25"/>
      <c r="E218" s="25"/>
      <c r="F218" s="25"/>
      <c r="G218" s="25"/>
    </row>
    <row r="219" spans="2:7" x14ac:dyDescent="0.2">
      <c r="B219" s="25"/>
      <c r="C219" s="25"/>
      <c r="D219" s="25"/>
      <c r="E219" s="25"/>
      <c r="F219" s="25"/>
      <c r="G219" s="25"/>
    </row>
    <row r="220" spans="2:7" x14ac:dyDescent="0.2">
      <c r="B220" s="25"/>
      <c r="C220" s="25"/>
      <c r="D220" s="25"/>
      <c r="E220" s="25"/>
      <c r="F220" s="25"/>
      <c r="G220" s="25"/>
    </row>
    <row r="221" spans="2:7" x14ac:dyDescent="0.2">
      <c r="B221" s="25"/>
      <c r="C221" s="25"/>
      <c r="D221" s="25"/>
      <c r="E221" s="25"/>
      <c r="F221" s="25"/>
      <c r="G221" s="25"/>
    </row>
    <row r="222" spans="2:7" x14ac:dyDescent="0.2">
      <c r="B222" s="25"/>
      <c r="C222" s="25"/>
      <c r="D222" s="25"/>
      <c r="E222" s="25"/>
      <c r="F222" s="25"/>
      <c r="G222" s="25"/>
    </row>
    <row r="223" spans="2:7" x14ac:dyDescent="0.2">
      <c r="B223" s="25"/>
      <c r="C223" s="25"/>
      <c r="D223" s="25"/>
      <c r="E223" s="25"/>
      <c r="F223" s="25"/>
      <c r="G223" s="25"/>
    </row>
    <row r="224" spans="2:7" x14ac:dyDescent="0.2">
      <c r="B224" s="25"/>
      <c r="C224" s="25"/>
      <c r="D224" s="25"/>
      <c r="E224" s="25"/>
      <c r="F224" s="25"/>
      <c r="G224" s="25"/>
    </row>
    <row r="225" spans="2:7" x14ac:dyDescent="0.2">
      <c r="B225" s="25"/>
      <c r="C225" s="25"/>
      <c r="D225" s="25"/>
      <c r="E225" s="25"/>
      <c r="F225" s="25"/>
      <c r="G225" s="25"/>
    </row>
    <row r="226" spans="2:7" x14ac:dyDescent="0.2">
      <c r="B226" s="25"/>
      <c r="C226" s="25"/>
      <c r="D226" s="25"/>
      <c r="E226" s="25"/>
      <c r="F226" s="25"/>
      <c r="G226" s="25"/>
    </row>
    <row r="227" spans="2:7" x14ac:dyDescent="0.2">
      <c r="B227" s="25"/>
      <c r="C227" s="25"/>
      <c r="D227" s="25"/>
      <c r="E227" s="25"/>
      <c r="F227" s="25"/>
      <c r="G227" s="25"/>
    </row>
    <row r="228" spans="2:7" x14ac:dyDescent="0.2">
      <c r="B228" s="25"/>
      <c r="C228" s="25"/>
      <c r="D228" s="25"/>
      <c r="E228" s="25"/>
      <c r="F228" s="25"/>
      <c r="G228" s="25"/>
    </row>
    <row r="229" spans="2:7" x14ac:dyDescent="0.2">
      <c r="B229" s="25"/>
      <c r="C229" s="25"/>
      <c r="D229" s="25"/>
      <c r="E229" s="25"/>
      <c r="F229" s="25"/>
      <c r="G229" s="25"/>
    </row>
    <row r="230" spans="2:7" x14ac:dyDescent="0.2">
      <c r="B230" s="25"/>
      <c r="C230" s="25"/>
      <c r="D230" s="25"/>
      <c r="E230" s="25"/>
      <c r="F230" s="25"/>
      <c r="G230" s="25"/>
    </row>
    <row r="231" spans="2:7" x14ac:dyDescent="0.2">
      <c r="B231" s="25"/>
      <c r="C231" s="25"/>
      <c r="D231" s="25"/>
      <c r="E231" s="25"/>
      <c r="F231" s="25"/>
      <c r="G231" s="25"/>
    </row>
    <row r="232" spans="2:7" x14ac:dyDescent="0.2">
      <c r="B232" s="25"/>
      <c r="C232" s="25"/>
      <c r="D232" s="25"/>
      <c r="E232" s="25"/>
      <c r="F232" s="25"/>
      <c r="G232" s="25"/>
    </row>
    <row r="233" spans="2:7" x14ac:dyDescent="0.2">
      <c r="B233" s="25"/>
      <c r="C233" s="25"/>
      <c r="D233" s="25"/>
      <c r="E233" s="25"/>
      <c r="F233" s="25"/>
      <c r="G233" s="25"/>
    </row>
    <row r="234" spans="2:7" x14ac:dyDescent="0.2">
      <c r="B234" s="25"/>
      <c r="C234" s="25"/>
      <c r="D234" s="25"/>
      <c r="E234" s="25"/>
      <c r="F234" s="25"/>
      <c r="G234" s="25"/>
    </row>
    <row r="235" spans="2:7" x14ac:dyDescent="0.2">
      <c r="B235" s="25"/>
      <c r="C235" s="25"/>
      <c r="D235" s="25"/>
      <c r="E235" s="25"/>
      <c r="F235" s="25"/>
      <c r="G235" s="25"/>
    </row>
    <row r="236" spans="2:7" x14ac:dyDescent="0.2">
      <c r="B236" s="25"/>
      <c r="C236" s="25"/>
      <c r="D236" s="25"/>
      <c r="E236" s="25"/>
      <c r="F236" s="25"/>
      <c r="G236" s="25"/>
    </row>
    <row r="237" spans="2:7" x14ac:dyDescent="0.2">
      <c r="B237" s="25"/>
      <c r="C237" s="25"/>
      <c r="D237" s="25"/>
      <c r="E237" s="25"/>
      <c r="F237" s="25"/>
      <c r="G237" s="25"/>
    </row>
    <row r="238" spans="2:7" x14ac:dyDescent="0.2">
      <c r="B238" s="25"/>
      <c r="C238" s="25"/>
      <c r="D238" s="25"/>
      <c r="E238" s="25"/>
      <c r="F238" s="25"/>
      <c r="G238" s="25"/>
    </row>
    <row r="239" spans="2:7" x14ac:dyDescent="0.2">
      <c r="B239" s="25"/>
      <c r="C239" s="25"/>
      <c r="D239" s="25"/>
      <c r="E239" s="25"/>
      <c r="F239" s="25"/>
      <c r="G239" s="25"/>
    </row>
    <row r="240" spans="2:7" x14ac:dyDescent="0.2">
      <c r="B240" s="25"/>
      <c r="C240" s="25"/>
      <c r="D240" s="25"/>
      <c r="E240" s="25"/>
      <c r="F240" s="25"/>
      <c r="G240" s="25"/>
    </row>
    <row r="241" spans="2:7" x14ac:dyDescent="0.2">
      <c r="B241" s="25"/>
      <c r="C241" s="25"/>
      <c r="D241" s="25"/>
      <c r="E241" s="25"/>
      <c r="F241" s="25"/>
      <c r="G241" s="25"/>
    </row>
    <row r="242" spans="2:7" x14ac:dyDescent="0.2">
      <c r="B242" s="25"/>
      <c r="C242" s="25"/>
      <c r="D242" s="25"/>
      <c r="E242" s="25"/>
      <c r="F242" s="25"/>
      <c r="G242" s="25"/>
    </row>
    <row r="243" spans="2:7" x14ac:dyDescent="0.2">
      <c r="B243" s="25"/>
      <c r="C243" s="25"/>
      <c r="D243" s="25"/>
      <c r="E243" s="25"/>
      <c r="F243" s="25"/>
      <c r="G243" s="25"/>
    </row>
    <row r="244" spans="2:7" x14ac:dyDescent="0.2">
      <c r="B244" s="25"/>
      <c r="C244" s="25"/>
      <c r="D244" s="25"/>
      <c r="E244" s="25"/>
      <c r="F244" s="25"/>
      <c r="G244" s="25"/>
    </row>
    <row r="245" spans="2:7" x14ac:dyDescent="0.2">
      <c r="B245" s="25"/>
      <c r="C245" s="25"/>
      <c r="D245" s="25"/>
      <c r="E245" s="25"/>
      <c r="F245" s="25"/>
      <c r="G245" s="25"/>
    </row>
    <row r="246" spans="2:7" x14ac:dyDescent="0.2">
      <c r="B246" s="25"/>
      <c r="C246" s="25"/>
      <c r="D246" s="25"/>
      <c r="E246" s="25"/>
      <c r="F246" s="25"/>
      <c r="G246" s="25"/>
    </row>
    <row r="247" spans="2:7" x14ac:dyDescent="0.2">
      <c r="B247" s="25"/>
      <c r="C247" s="25"/>
      <c r="D247" s="25"/>
      <c r="E247" s="25"/>
      <c r="F247" s="25"/>
      <c r="G247" s="25"/>
    </row>
    <row r="248" spans="2:7" x14ac:dyDescent="0.2">
      <c r="B248" s="25"/>
      <c r="C248" s="25"/>
      <c r="D248" s="25"/>
      <c r="E248" s="25"/>
      <c r="F248" s="25"/>
      <c r="G248" s="25"/>
    </row>
    <row r="249" spans="2:7" x14ac:dyDescent="0.2">
      <c r="B249" s="25"/>
      <c r="C249" s="25"/>
      <c r="D249" s="25"/>
      <c r="E249" s="25"/>
      <c r="F249" s="25"/>
      <c r="G249" s="25"/>
    </row>
    <row r="250" spans="2:7" x14ac:dyDescent="0.2">
      <c r="B250" s="25"/>
      <c r="C250" s="25"/>
      <c r="D250" s="25"/>
      <c r="E250" s="25"/>
      <c r="F250" s="25"/>
      <c r="G250" s="25"/>
    </row>
    <row r="251" spans="2:7" x14ac:dyDescent="0.2">
      <c r="B251" s="25"/>
      <c r="C251" s="25"/>
      <c r="D251" s="25"/>
      <c r="E251" s="25"/>
      <c r="F251" s="25"/>
      <c r="G251" s="25"/>
    </row>
    <row r="252" spans="2:7" x14ac:dyDescent="0.2">
      <c r="B252" s="25"/>
      <c r="C252" s="25"/>
      <c r="D252" s="25"/>
      <c r="E252" s="25"/>
      <c r="F252" s="25"/>
      <c r="G252" s="25"/>
    </row>
    <row r="253" spans="2:7" x14ac:dyDescent="0.2">
      <c r="B253" s="25"/>
      <c r="C253" s="25"/>
      <c r="D253" s="25"/>
      <c r="E253" s="25"/>
      <c r="F253" s="25"/>
      <c r="G253" s="25"/>
    </row>
    <row r="254" spans="2:7" x14ac:dyDescent="0.2">
      <c r="B254" s="25"/>
      <c r="C254" s="25"/>
      <c r="D254" s="25"/>
      <c r="E254" s="25"/>
      <c r="F254" s="25"/>
      <c r="G254" s="25"/>
    </row>
    <row r="255" spans="2:7" x14ac:dyDescent="0.2">
      <c r="B255" s="25"/>
      <c r="C255" s="25"/>
      <c r="D255" s="25"/>
      <c r="E255" s="25"/>
      <c r="F255" s="25"/>
      <c r="G255" s="25"/>
    </row>
    <row r="256" spans="2:7" x14ac:dyDescent="0.2">
      <c r="B256" s="25"/>
      <c r="C256" s="25"/>
      <c r="D256" s="25"/>
      <c r="E256" s="25"/>
      <c r="F256" s="25"/>
      <c r="G256" s="25"/>
    </row>
    <row r="257" spans="2:7" x14ac:dyDescent="0.2">
      <c r="B257" s="25"/>
      <c r="C257" s="25"/>
      <c r="D257" s="25"/>
      <c r="E257" s="25"/>
      <c r="F257" s="25"/>
      <c r="G257" s="25"/>
    </row>
    <row r="258" spans="2:7" x14ac:dyDescent="0.2">
      <c r="B258" s="25"/>
      <c r="C258" s="25"/>
      <c r="D258" s="25"/>
      <c r="E258" s="25"/>
      <c r="F258" s="25"/>
      <c r="G258" s="25"/>
    </row>
    <row r="259" spans="2:7" x14ac:dyDescent="0.2">
      <c r="B259" s="25"/>
      <c r="C259" s="25"/>
      <c r="D259" s="25"/>
      <c r="E259" s="25"/>
      <c r="F259" s="25"/>
      <c r="G259" s="25"/>
    </row>
    <row r="260" spans="2:7" x14ac:dyDescent="0.2">
      <c r="B260" s="25"/>
      <c r="C260" s="25"/>
      <c r="D260" s="25"/>
      <c r="E260" s="25"/>
      <c r="F260" s="25"/>
      <c r="G260" s="25"/>
    </row>
    <row r="261" spans="2:7" x14ac:dyDescent="0.2">
      <c r="B261" s="25"/>
      <c r="C261" s="25"/>
      <c r="D261" s="25"/>
      <c r="E261" s="25"/>
      <c r="F261" s="25"/>
      <c r="G261" s="25"/>
    </row>
    <row r="262" spans="2:7" x14ac:dyDescent="0.2">
      <c r="B262" s="25"/>
      <c r="C262" s="25"/>
      <c r="D262" s="25"/>
      <c r="E262" s="25"/>
      <c r="F262" s="25"/>
      <c r="G262" s="25"/>
    </row>
    <row r="263" spans="2:7" x14ac:dyDescent="0.2">
      <c r="B263" s="25"/>
      <c r="C263" s="25"/>
      <c r="D263" s="25"/>
      <c r="E263" s="25"/>
      <c r="F263" s="25"/>
      <c r="G263" s="25"/>
    </row>
    <row r="264" spans="2:7" x14ac:dyDescent="0.2">
      <c r="B264" s="25"/>
      <c r="C264" s="25"/>
      <c r="D264" s="25"/>
      <c r="E264" s="25"/>
      <c r="F264" s="25"/>
      <c r="G264" s="25"/>
    </row>
    <row r="265" spans="2:7" x14ac:dyDescent="0.2">
      <c r="B265" s="25"/>
      <c r="C265" s="25"/>
      <c r="D265" s="25"/>
      <c r="E265" s="25"/>
      <c r="F265" s="25"/>
      <c r="G265" s="25"/>
    </row>
    <row r="266" spans="2:7" x14ac:dyDescent="0.2">
      <c r="B266" s="25"/>
      <c r="C266" s="25"/>
      <c r="D266" s="25"/>
      <c r="E266" s="25"/>
      <c r="F266" s="25"/>
      <c r="G266" s="25"/>
    </row>
    <row r="267" spans="2:7" x14ac:dyDescent="0.2">
      <c r="B267" s="25"/>
      <c r="C267" s="25"/>
      <c r="D267" s="25"/>
      <c r="E267" s="25"/>
      <c r="F267" s="25"/>
      <c r="G267" s="25"/>
    </row>
    <row r="268" spans="2:7" x14ac:dyDescent="0.2">
      <c r="B268" s="25"/>
      <c r="C268" s="25"/>
      <c r="D268" s="25"/>
      <c r="E268" s="25"/>
      <c r="F268" s="25"/>
      <c r="G268" s="25"/>
    </row>
    <row r="269" spans="2:7" x14ac:dyDescent="0.2">
      <c r="B269" s="25"/>
      <c r="C269" s="25"/>
      <c r="D269" s="25"/>
      <c r="E269" s="25"/>
      <c r="F269" s="25"/>
      <c r="G269" s="25"/>
    </row>
    <row r="270" spans="2:7" x14ac:dyDescent="0.2">
      <c r="B270" s="25"/>
      <c r="C270" s="25"/>
      <c r="D270" s="25"/>
      <c r="E270" s="25"/>
      <c r="F270" s="25"/>
      <c r="G270" s="25"/>
    </row>
    <row r="271" spans="2:7" x14ac:dyDescent="0.2">
      <c r="B271" s="25"/>
      <c r="C271" s="25"/>
      <c r="D271" s="25"/>
      <c r="E271" s="25"/>
      <c r="F271" s="25"/>
      <c r="G271" s="25"/>
    </row>
    <row r="272" spans="2:7" x14ac:dyDescent="0.2">
      <c r="B272" s="25"/>
      <c r="C272" s="25"/>
      <c r="D272" s="25"/>
      <c r="E272" s="25"/>
      <c r="F272" s="25"/>
      <c r="G272" s="25"/>
    </row>
    <row r="273" spans="2:7" x14ac:dyDescent="0.2">
      <c r="B273" s="25"/>
      <c r="C273" s="25"/>
      <c r="D273" s="25"/>
      <c r="E273" s="25"/>
      <c r="F273" s="25"/>
      <c r="G273" s="25"/>
    </row>
    <row r="274" spans="2:7" x14ac:dyDescent="0.2">
      <c r="B274" s="25"/>
      <c r="C274" s="25"/>
      <c r="D274" s="25"/>
      <c r="E274" s="25"/>
      <c r="F274" s="25"/>
      <c r="G274" s="25"/>
    </row>
    <row r="275" spans="2:7" x14ac:dyDescent="0.2">
      <c r="B275" s="25"/>
      <c r="C275" s="25"/>
      <c r="D275" s="25"/>
      <c r="E275" s="25"/>
      <c r="F275" s="25"/>
      <c r="G275" s="25"/>
    </row>
    <row r="276" spans="2:7" x14ac:dyDescent="0.2">
      <c r="B276" s="25"/>
      <c r="C276" s="25"/>
      <c r="D276" s="25"/>
      <c r="E276" s="25"/>
      <c r="F276" s="25"/>
      <c r="G276" s="25"/>
    </row>
    <row r="277" spans="2:7" x14ac:dyDescent="0.2">
      <c r="B277" s="25"/>
      <c r="C277" s="25"/>
      <c r="D277" s="25"/>
      <c r="E277" s="25"/>
      <c r="F277" s="25"/>
      <c r="G277" s="25"/>
    </row>
    <row r="278" spans="2:7" x14ac:dyDescent="0.2">
      <c r="B278" s="25"/>
      <c r="C278" s="25"/>
      <c r="D278" s="25"/>
      <c r="E278" s="25"/>
      <c r="F278" s="25"/>
      <c r="G278" s="25"/>
    </row>
    <row r="279" spans="2:7" x14ac:dyDescent="0.2">
      <c r="B279" s="25"/>
      <c r="C279" s="25"/>
      <c r="D279" s="25"/>
      <c r="E279" s="25"/>
      <c r="F279" s="25"/>
      <c r="G279" s="25"/>
    </row>
    <row r="280" spans="2:7" x14ac:dyDescent="0.2">
      <c r="B280" s="25"/>
      <c r="C280" s="25"/>
      <c r="D280" s="25"/>
      <c r="E280" s="25"/>
      <c r="F280" s="25"/>
      <c r="G280" s="25"/>
    </row>
    <row r="281" spans="2:7" x14ac:dyDescent="0.2">
      <c r="B281" s="25"/>
      <c r="C281" s="25"/>
      <c r="D281" s="25"/>
      <c r="E281" s="25"/>
      <c r="F281" s="25"/>
      <c r="G281" s="25"/>
    </row>
    <row r="282" spans="2:7" x14ac:dyDescent="0.2">
      <c r="B282" s="25"/>
      <c r="C282" s="25"/>
      <c r="D282" s="25"/>
      <c r="E282" s="25"/>
      <c r="F282" s="25"/>
      <c r="G282" s="25"/>
    </row>
    <row r="283" spans="2:7" x14ac:dyDescent="0.2">
      <c r="B283" s="25"/>
      <c r="C283" s="25"/>
      <c r="D283" s="25"/>
      <c r="E283" s="25"/>
      <c r="F283" s="25"/>
      <c r="G283" s="25"/>
    </row>
    <row r="284" spans="2:7" x14ac:dyDescent="0.2">
      <c r="B284" s="25"/>
      <c r="C284" s="25"/>
      <c r="D284" s="25"/>
      <c r="E284" s="25"/>
      <c r="F284" s="25"/>
      <c r="G284" s="25"/>
    </row>
    <row r="285" spans="2:7" x14ac:dyDescent="0.2">
      <c r="B285" s="25"/>
      <c r="C285" s="25"/>
      <c r="D285" s="25"/>
      <c r="E285" s="25"/>
      <c r="F285" s="25"/>
      <c r="G285" s="25"/>
    </row>
    <row r="286" spans="2:7" x14ac:dyDescent="0.2">
      <c r="B286" s="25"/>
      <c r="C286" s="25"/>
      <c r="D286" s="25"/>
      <c r="E286" s="25"/>
      <c r="F286" s="25"/>
      <c r="G286" s="25"/>
    </row>
    <row r="287" spans="2:7" x14ac:dyDescent="0.2">
      <c r="B287" s="25"/>
      <c r="C287" s="25"/>
      <c r="D287" s="25"/>
      <c r="E287" s="25"/>
      <c r="F287" s="25"/>
      <c r="G287" s="25"/>
    </row>
    <row r="288" spans="2:7" x14ac:dyDescent="0.2">
      <c r="B288" s="25"/>
      <c r="C288" s="25"/>
      <c r="D288" s="25"/>
      <c r="E288" s="25"/>
      <c r="F288" s="25"/>
      <c r="G288" s="25"/>
    </row>
    <row r="289" spans="2:7" x14ac:dyDescent="0.2">
      <c r="B289" s="25"/>
      <c r="C289" s="25"/>
      <c r="D289" s="25"/>
      <c r="E289" s="25"/>
      <c r="F289" s="25"/>
      <c r="G289" s="25"/>
    </row>
    <row r="290" spans="2:7" x14ac:dyDescent="0.2">
      <c r="B290" s="25"/>
      <c r="C290" s="25"/>
      <c r="D290" s="25"/>
      <c r="E290" s="25"/>
      <c r="F290" s="25"/>
      <c r="G290" s="25"/>
    </row>
    <row r="291" spans="2:7" x14ac:dyDescent="0.2">
      <c r="B291" s="25"/>
      <c r="C291" s="25"/>
      <c r="D291" s="25"/>
      <c r="E291" s="25"/>
      <c r="F291" s="25"/>
      <c r="G291" s="25"/>
    </row>
    <row r="292" spans="2:7" x14ac:dyDescent="0.2">
      <c r="B292" s="25"/>
      <c r="C292" s="25"/>
      <c r="D292" s="25"/>
      <c r="E292" s="25"/>
      <c r="F292" s="25"/>
      <c r="G292" s="25"/>
    </row>
    <row r="293" spans="2:7" x14ac:dyDescent="0.2">
      <c r="B293" s="25"/>
      <c r="C293" s="25"/>
      <c r="D293" s="25"/>
      <c r="E293" s="25"/>
      <c r="F293" s="25"/>
      <c r="G293" s="25"/>
    </row>
    <row r="294" spans="2:7" x14ac:dyDescent="0.2">
      <c r="B294" s="25"/>
      <c r="C294" s="25"/>
      <c r="D294" s="25"/>
      <c r="E294" s="25"/>
      <c r="F294" s="25"/>
      <c r="G294" s="25"/>
    </row>
    <row r="295" spans="2:7" x14ac:dyDescent="0.2">
      <c r="B295" s="25"/>
      <c r="C295" s="25"/>
      <c r="D295" s="25"/>
      <c r="E295" s="25"/>
      <c r="F295" s="25"/>
      <c r="G295" s="25"/>
    </row>
    <row r="296" spans="2:7" x14ac:dyDescent="0.2">
      <c r="B296" s="25"/>
      <c r="C296" s="25"/>
      <c r="D296" s="25"/>
      <c r="E296" s="25"/>
      <c r="F296" s="25"/>
      <c r="G296" s="25"/>
    </row>
    <row r="297" spans="2:7" x14ac:dyDescent="0.2">
      <c r="B297" s="25"/>
      <c r="C297" s="25"/>
      <c r="D297" s="25"/>
      <c r="E297" s="25"/>
      <c r="F297" s="25"/>
      <c r="G297" s="25"/>
    </row>
    <row r="298" spans="2:7" x14ac:dyDescent="0.2">
      <c r="B298" s="25"/>
      <c r="C298" s="25"/>
      <c r="D298" s="25"/>
      <c r="E298" s="25"/>
      <c r="F298" s="25"/>
      <c r="G298" s="25"/>
    </row>
    <row r="299" spans="2:7" x14ac:dyDescent="0.2">
      <c r="B299" s="25"/>
      <c r="C299" s="25"/>
      <c r="D299" s="25"/>
      <c r="E299" s="25"/>
      <c r="F299" s="25"/>
      <c r="G299" s="25"/>
    </row>
    <row r="300" spans="2:7" x14ac:dyDescent="0.2">
      <c r="B300" s="25"/>
      <c r="C300" s="25"/>
      <c r="D300" s="25"/>
      <c r="E300" s="25"/>
      <c r="F300" s="25"/>
      <c r="G300" s="25"/>
    </row>
    <row r="301" spans="2:7" x14ac:dyDescent="0.2">
      <c r="B301" s="25"/>
      <c r="C301" s="25"/>
      <c r="D301" s="25"/>
      <c r="E301" s="25"/>
      <c r="F301" s="25"/>
      <c r="G301" s="25"/>
    </row>
    <row r="302" spans="2:7" x14ac:dyDescent="0.2">
      <c r="B302" s="25"/>
      <c r="C302" s="25"/>
      <c r="D302" s="25"/>
      <c r="E302" s="25"/>
      <c r="F302" s="25"/>
      <c r="G302" s="25"/>
    </row>
    <row r="303" spans="2:7" x14ac:dyDescent="0.2">
      <c r="B303" s="25"/>
      <c r="C303" s="25"/>
      <c r="D303" s="25"/>
      <c r="E303" s="25"/>
      <c r="F303" s="25"/>
      <c r="G303" s="25"/>
    </row>
    <row r="304" spans="2:7" x14ac:dyDescent="0.2">
      <c r="B304" s="25"/>
      <c r="C304" s="25"/>
      <c r="D304" s="25"/>
      <c r="E304" s="25"/>
      <c r="F304" s="25"/>
      <c r="G304" s="25"/>
    </row>
    <row r="305" spans="2:7" x14ac:dyDescent="0.2">
      <c r="B305" s="25"/>
      <c r="C305" s="25"/>
      <c r="D305" s="25"/>
      <c r="E305" s="25"/>
      <c r="F305" s="25"/>
      <c r="G305" s="25"/>
    </row>
    <row r="306" spans="2:7" x14ac:dyDescent="0.2">
      <c r="B306" s="25"/>
      <c r="C306" s="25"/>
      <c r="D306" s="25"/>
      <c r="E306" s="25"/>
      <c r="F306" s="25"/>
      <c r="G306" s="25"/>
    </row>
    <row r="307" spans="2:7" x14ac:dyDescent="0.2">
      <c r="B307" s="25"/>
      <c r="C307" s="25"/>
      <c r="D307" s="25"/>
      <c r="E307" s="25"/>
      <c r="F307" s="25"/>
      <c r="G307" s="25"/>
    </row>
    <row r="308" spans="2:7" x14ac:dyDescent="0.2">
      <c r="B308" s="25"/>
      <c r="C308" s="25"/>
      <c r="D308" s="25"/>
      <c r="E308" s="25"/>
      <c r="F308" s="25"/>
      <c r="G308" s="25"/>
    </row>
    <row r="309" spans="2:7" x14ac:dyDescent="0.2">
      <c r="B309" s="25"/>
      <c r="C309" s="25"/>
      <c r="D309" s="25"/>
      <c r="E309" s="25"/>
      <c r="F309" s="25"/>
      <c r="G309" s="25"/>
    </row>
    <row r="310" spans="2:7" x14ac:dyDescent="0.2">
      <c r="B310" s="25"/>
      <c r="C310" s="25"/>
      <c r="D310" s="25"/>
      <c r="E310" s="25"/>
      <c r="F310" s="25"/>
      <c r="G310" s="25"/>
    </row>
    <row r="311" spans="2:7" x14ac:dyDescent="0.2">
      <c r="B311" s="25"/>
      <c r="C311" s="25"/>
      <c r="D311" s="25"/>
      <c r="E311" s="25"/>
      <c r="F311" s="25"/>
      <c r="G311" s="25"/>
    </row>
    <row r="312" spans="2:7" x14ac:dyDescent="0.2">
      <c r="B312" s="25"/>
      <c r="C312" s="25"/>
      <c r="D312" s="25"/>
      <c r="E312" s="25"/>
      <c r="F312" s="25"/>
      <c r="G312" s="25"/>
    </row>
    <row r="313" spans="2:7" x14ac:dyDescent="0.2">
      <c r="B313" s="25"/>
      <c r="C313" s="25"/>
      <c r="D313" s="25"/>
      <c r="E313" s="25"/>
      <c r="F313" s="25"/>
      <c r="G313" s="25"/>
    </row>
    <row r="314" spans="2:7" x14ac:dyDescent="0.2">
      <c r="B314" s="25"/>
      <c r="C314" s="25"/>
      <c r="D314" s="25"/>
      <c r="E314" s="25"/>
      <c r="F314" s="25"/>
      <c r="G314" s="25"/>
    </row>
    <row r="315" spans="2:7" x14ac:dyDescent="0.2">
      <c r="B315" s="25"/>
      <c r="C315" s="25"/>
      <c r="D315" s="25"/>
      <c r="E315" s="25"/>
      <c r="F315" s="25"/>
      <c r="G315" s="25"/>
    </row>
    <row r="316" spans="2:7" x14ac:dyDescent="0.2">
      <c r="B316" s="25"/>
      <c r="C316" s="25"/>
      <c r="D316" s="25"/>
      <c r="E316" s="25"/>
      <c r="F316" s="25"/>
      <c r="G316" s="25"/>
    </row>
    <row r="317" spans="2:7" x14ac:dyDescent="0.2">
      <c r="B317" s="25"/>
      <c r="C317" s="25"/>
      <c r="D317" s="25"/>
      <c r="E317" s="25"/>
      <c r="F317" s="25"/>
      <c r="G317" s="25"/>
    </row>
    <row r="318" spans="2:7" x14ac:dyDescent="0.2">
      <c r="B318" s="25"/>
      <c r="C318" s="25"/>
      <c r="D318" s="25"/>
      <c r="E318" s="25"/>
      <c r="F318" s="25"/>
      <c r="G318" s="25"/>
    </row>
    <row r="319" spans="2:7" x14ac:dyDescent="0.2">
      <c r="B319" s="25"/>
      <c r="C319" s="25"/>
      <c r="D319" s="25"/>
      <c r="E319" s="25"/>
      <c r="F319" s="25"/>
      <c r="G319" s="25"/>
    </row>
    <row r="320" spans="2:7" x14ac:dyDescent="0.2">
      <c r="B320" s="25"/>
      <c r="C320" s="25"/>
      <c r="D320" s="25"/>
      <c r="E320" s="25"/>
      <c r="F320" s="25"/>
      <c r="G320" s="25"/>
    </row>
    <row r="321" spans="2:7" x14ac:dyDescent="0.2">
      <c r="B321" s="25"/>
      <c r="C321" s="25"/>
      <c r="D321" s="25"/>
      <c r="E321" s="25"/>
      <c r="F321" s="25"/>
      <c r="G321" s="25"/>
    </row>
    <row r="322" spans="2:7" x14ac:dyDescent="0.2">
      <c r="B322" s="25"/>
      <c r="C322" s="25"/>
      <c r="D322" s="25"/>
      <c r="E322" s="25"/>
      <c r="F322" s="25"/>
      <c r="G322" s="25"/>
    </row>
    <row r="323" spans="2:7" x14ac:dyDescent="0.2">
      <c r="B323" s="25"/>
      <c r="C323" s="25"/>
      <c r="D323" s="25"/>
      <c r="E323" s="25"/>
      <c r="F323" s="25"/>
      <c r="G323" s="25"/>
    </row>
    <row r="324" spans="2:7" x14ac:dyDescent="0.2">
      <c r="B324" s="25"/>
      <c r="C324" s="25"/>
      <c r="D324" s="25"/>
      <c r="E324" s="25"/>
      <c r="F324" s="25"/>
      <c r="G324" s="25"/>
    </row>
    <row r="325" spans="2:7" x14ac:dyDescent="0.2">
      <c r="B325" s="25"/>
      <c r="C325" s="25"/>
      <c r="D325" s="25"/>
      <c r="E325" s="25"/>
      <c r="F325" s="25"/>
      <c r="G325" s="25"/>
    </row>
    <row r="326" spans="2:7" x14ac:dyDescent="0.2">
      <c r="B326" s="25"/>
      <c r="C326" s="25"/>
      <c r="D326" s="25"/>
      <c r="E326" s="25"/>
      <c r="F326" s="25"/>
      <c r="G326" s="25"/>
    </row>
    <row r="327" spans="2:7" x14ac:dyDescent="0.2">
      <c r="B327" s="25"/>
      <c r="C327" s="25"/>
      <c r="D327" s="25"/>
      <c r="E327" s="25"/>
      <c r="F327" s="25"/>
      <c r="G327" s="25"/>
    </row>
    <row r="328" spans="2:7" x14ac:dyDescent="0.2">
      <c r="B328" s="25"/>
      <c r="C328" s="25"/>
      <c r="D328" s="25"/>
      <c r="E328" s="25"/>
      <c r="F328" s="25"/>
      <c r="G328" s="25"/>
    </row>
    <row r="329" spans="2:7" x14ac:dyDescent="0.2">
      <c r="B329" s="25"/>
      <c r="C329" s="25"/>
      <c r="D329" s="25"/>
      <c r="E329" s="25"/>
      <c r="F329" s="25"/>
      <c r="G329" s="25"/>
    </row>
    <row r="330" spans="2:7" x14ac:dyDescent="0.2">
      <c r="B330" s="25"/>
      <c r="C330" s="25"/>
      <c r="D330" s="25"/>
      <c r="E330" s="25"/>
      <c r="F330" s="25"/>
      <c r="G330" s="25"/>
    </row>
    <row r="331" spans="2:7" x14ac:dyDescent="0.2">
      <c r="B331" s="25"/>
      <c r="C331" s="25"/>
      <c r="D331" s="25"/>
      <c r="E331" s="25"/>
      <c r="F331" s="25"/>
      <c r="G331" s="25"/>
    </row>
    <row r="332" spans="2:7" x14ac:dyDescent="0.2">
      <c r="B332" s="25"/>
      <c r="C332" s="25"/>
      <c r="D332" s="25"/>
      <c r="E332" s="25"/>
      <c r="F332" s="25"/>
      <c r="G332" s="25"/>
    </row>
    <row r="333" spans="2:7" x14ac:dyDescent="0.2">
      <c r="B333" s="25"/>
      <c r="C333" s="25"/>
      <c r="D333" s="25"/>
      <c r="E333" s="25"/>
      <c r="F333" s="25"/>
      <c r="G333" s="25"/>
    </row>
    <row r="334" spans="2:7" x14ac:dyDescent="0.2">
      <c r="B334" s="25"/>
      <c r="C334" s="25"/>
      <c r="D334" s="25"/>
      <c r="E334" s="25"/>
      <c r="F334" s="25"/>
      <c r="G334" s="25"/>
    </row>
    <row r="335" spans="2:7" x14ac:dyDescent="0.2">
      <c r="B335" s="25"/>
      <c r="C335" s="25"/>
      <c r="D335" s="25"/>
      <c r="E335" s="25"/>
      <c r="F335" s="25"/>
      <c r="G335" s="25"/>
    </row>
    <row r="336" spans="2:7" x14ac:dyDescent="0.2">
      <c r="B336" s="25"/>
      <c r="C336" s="25"/>
      <c r="D336" s="25"/>
      <c r="E336" s="25"/>
      <c r="F336" s="25"/>
      <c r="G336" s="25"/>
    </row>
    <row r="337" spans="2:7" x14ac:dyDescent="0.2">
      <c r="B337" s="25"/>
      <c r="C337" s="25"/>
      <c r="D337" s="25"/>
      <c r="E337" s="25"/>
      <c r="F337" s="25"/>
      <c r="G337" s="25"/>
    </row>
    <row r="338" spans="2:7" x14ac:dyDescent="0.2">
      <c r="B338" s="25"/>
      <c r="C338" s="25"/>
      <c r="D338" s="25"/>
      <c r="E338" s="25"/>
      <c r="F338" s="25"/>
      <c r="G338" s="25"/>
    </row>
    <row r="339" spans="2:7" x14ac:dyDescent="0.2">
      <c r="B339" s="25"/>
      <c r="C339" s="25"/>
      <c r="D339" s="25"/>
      <c r="E339" s="25"/>
      <c r="F339" s="25"/>
      <c r="G339" s="25"/>
    </row>
    <row r="340" spans="2:7" x14ac:dyDescent="0.2">
      <c r="B340" s="25"/>
      <c r="C340" s="25"/>
      <c r="D340" s="25"/>
      <c r="E340" s="25"/>
      <c r="F340" s="25"/>
      <c r="G340" s="25"/>
    </row>
    <row r="341" spans="2:7" x14ac:dyDescent="0.2">
      <c r="B341" s="25"/>
      <c r="C341" s="25"/>
      <c r="D341" s="25"/>
      <c r="E341" s="25"/>
      <c r="F341" s="25"/>
      <c r="G341" s="25"/>
    </row>
    <row r="342" spans="2:7" x14ac:dyDescent="0.2">
      <c r="B342" s="25"/>
      <c r="C342" s="25"/>
      <c r="D342" s="25"/>
      <c r="E342" s="25"/>
      <c r="F342" s="25"/>
      <c r="G342" s="25"/>
    </row>
    <row r="343" spans="2:7" x14ac:dyDescent="0.2">
      <c r="B343" s="25"/>
      <c r="C343" s="25"/>
      <c r="D343" s="25"/>
      <c r="E343" s="25"/>
      <c r="F343" s="25"/>
      <c r="G343" s="25"/>
    </row>
    <row r="344" spans="2:7" x14ac:dyDescent="0.2">
      <c r="B344" s="25"/>
      <c r="C344" s="25"/>
      <c r="D344" s="25"/>
      <c r="E344" s="25"/>
      <c r="F344" s="25"/>
      <c r="G344" s="25"/>
    </row>
    <row r="345" spans="2:7" x14ac:dyDescent="0.2">
      <c r="B345" s="25"/>
      <c r="C345" s="25"/>
      <c r="D345" s="25"/>
      <c r="E345" s="25"/>
      <c r="F345" s="25"/>
      <c r="G345" s="25"/>
    </row>
    <row r="346" spans="2:7" x14ac:dyDescent="0.2">
      <c r="B346" s="25"/>
      <c r="C346" s="25"/>
      <c r="D346" s="25"/>
      <c r="E346" s="25"/>
      <c r="F346" s="25"/>
      <c r="G346" s="25"/>
    </row>
    <row r="347" spans="2:7" x14ac:dyDescent="0.2">
      <c r="B347" s="25"/>
      <c r="C347" s="25"/>
      <c r="D347" s="25"/>
      <c r="E347" s="25"/>
      <c r="F347" s="25"/>
      <c r="G347" s="25"/>
    </row>
    <row r="348" spans="2:7" x14ac:dyDescent="0.2">
      <c r="B348" s="25"/>
      <c r="C348" s="25"/>
      <c r="D348" s="25"/>
      <c r="E348" s="25"/>
      <c r="F348" s="25"/>
      <c r="G348" s="25"/>
    </row>
    <row r="349" spans="2:7" x14ac:dyDescent="0.2">
      <c r="B349" s="25"/>
      <c r="C349" s="25"/>
      <c r="D349" s="25"/>
      <c r="E349" s="25"/>
      <c r="F349" s="25"/>
      <c r="G349" s="25"/>
    </row>
    <row r="350" spans="2:7" x14ac:dyDescent="0.2">
      <c r="B350" s="25"/>
      <c r="C350" s="25"/>
      <c r="D350" s="25"/>
      <c r="E350" s="25"/>
      <c r="F350" s="25"/>
      <c r="G350" s="25"/>
    </row>
    <row r="351" spans="2:7" x14ac:dyDescent="0.2">
      <c r="B351" s="25"/>
      <c r="C351" s="25"/>
      <c r="D351" s="25"/>
      <c r="E351" s="25"/>
      <c r="F351" s="25"/>
      <c r="G351" s="25"/>
    </row>
    <row r="352" spans="2:7" x14ac:dyDescent="0.2">
      <c r="B352" s="25"/>
      <c r="C352" s="25"/>
      <c r="D352" s="25"/>
      <c r="E352" s="25"/>
      <c r="F352" s="25"/>
      <c r="G352" s="25"/>
    </row>
    <row r="353" spans="2:7" x14ac:dyDescent="0.2">
      <c r="B353" s="25"/>
      <c r="C353" s="25"/>
      <c r="D353" s="25"/>
      <c r="E353" s="25"/>
      <c r="F353" s="25"/>
      <c r="G353" s="25"/>
    </row>
    <row r="354" spans="2:7" x14ac:dyDescent="0.2">
      <c r="B354" s="25"/>
      <c r="C354" s="25"/>
      <c r="D354" s="25"/>
      <c r="E354" s="25"/>
      <c r="F354" s="25"/>
      <c r="G354" s="25"/>
    </row>
    <row r="355" spans="2:7" x14ac:dyDescent="0.2">
      <c r="B355" s="25"/>
      <c r="C355" s="25"/>
      <c r="D355" s="25"/>
      <c r="E355" s="25"/>
      <c r="F355" s="25"/>
      <c r="G355" s="25"/>
    </row>
    <row r="356" spans="2:7" x14ac:dyDescent="0.2">
      <c r="B356" s="25"/>
      <c r="C356" s="25"/>
      <c r="D356" s="25"/>
      <c r="E356" s="25"/>
      <c r="F356" s="25"/>
      <c r="G356" s="25"/>
    </row>
    <row r="357" spans="2:7" x14ac:dyDescent="0.2">
      <c r="B357" s="25"/>
      <c r="C357" s="25"/>
      <c r="D357" s="25"/>
      <c r="E357" s="25"/>
      <c r="F357" s="25"/>
      <c r="G357" s="25"/>
    </row>
    <row r="358" spans="2:7" x14ac:dyDescent="0.2">
      <c r="B358" s="25"/>
      <c r="C358" s="25"/>
      <c r="D358" s="25"/>
      <c r="E358" s="25"/>
      <c r="F358" s="25"/>
      <c r="G358" s="25"/>
    </row>
    <row r="359" spans="2:7" x14ac:dyDescent="0.2">
      <c r="B359" s="25"/>
      <c r="C359" s="25"/>
      <c r="D359" s="25"/>
      <c r="E359" s="25"/>
      <c r="F359" s="25"/>
      <c r="G359" s="25"/>
    </row>
    <row r="360" spans="2:7" x14ac:dyDescent="0.2">
      <c r="B360" s="25"/>
      <c r="C360" s="25"/>
      <c r="D360" s="25"/>
      <c r="E360" s="25"/>
      <c r="F360" s="25"/>
      <c r="G360" s="25"/>
    </row>
    <row r="361" spans="2:7" x14ac:dyDescent="0.2">
      <c r="D361" s="25"/>
      <c r="E361" s="25"/>
      <c r="F361" s="25"/>
      <c r="G361" s="25"/>
    </row>
  </sheetData>
  <sheetProtection password="CC7F" sheet="1" objects="1" scenarios="1"/>
  <mergeCells count="127">
    <mergeCell ref="C51:D51"/>
    <mergeCell ref="E51:F51"/>
    <mergeCell ref="G51:H51"/>
    <mergeCell ref="I51:J51"/>
    <mergeCell ref="C53:D53"/>
    <mergeCell ref="E53:F53"/>
    <mergeCell ref="G53:H53"/>
    <mergeCell ref="I53:J53"/>
    <mergeCell ref="C54:D54"/>
    <mergeCell ref="E54:F54"/>
    <mergeCell ref="G54:H54"/>
    <mergeCell ref="I54:J54"/>
    <mergeCell ref="C52:D52"/>
    <mergeCell ref="E52:F52"/>
    <mergeCell ref="G52:H52"/>
    <mergeCell ref="I52:J52"/>
    <mergeCell ref="C45:D45"/>
    <mergeCell ref="E45:F45"/>
    <mergeCell ref="G45:H45"/>
    <mergeCell ref="I45:J45"/>
    <mergeCell ref="C49:D49"/>
    <mergeCell ref="E49:F49"/>
    <mergeCell ref="G49:H49"/>
    <mergeCell ref="I49:J49"/>
    <mergeCell ref="C50:D50"/>
    <mergeCell ref="E50:F50"/>
    <mergeCell ref="G50:H50"/>
    <mergeCell ref="I50:J50"/>
    <mergeCell ref="C48:D48"/>
    <mergeCell ref="C46:D46"/>
    <mergeCell ref="C47:D47"/>
    <mergeCell ref="E46:F46"/>
    <mergeCell ref="E47:F47"/>
    <mergeCell ref="E48:F48"/>
    <mergeCell ref="G46:H46"/>
    <mergeCell ref="G47:H47"/>
    <mergeCell ref="G48:H48"/>
    <mergeCell ref="I46:J46"/>
    <mergeCell ref="I47:J47"/>
    <mergeCell ref="I48:J48"/>
    <mergeCell ref="F33:G33"/>
    <mergeCell ref="F34:G34"/>
    <mergeCell ref="F25:J25"/>
    <mergeCell ref="K25:L32"/>
    <mergeCell ref="H33:L35"/>
    <mergeCell ref="F35:G35"/>
    <mergeCell ref="C44:D44"/>
    <mergeCell ref="E44:F44"/>
    <mergeCell ref="G44:H44"/>
    <mergeCell ref="I44:J44"/>
    <mergeCell ref="J37:L38"/>
    <mergeCell ref="C41:D41"/>
    <mergeCell ref="C42:D42"/>
    <mergeCell ref="C43:D43"/>
    <mergeCell ref="E41:F41"/>
    <mergeCell ref="G41:H41"/>
    <mergeCell ref="G42:H42"/>
    <mergeCell ref="G43:H43"/>
    <mergeCell ref="I41:J41"/>
    <mergeCell ref="I42:J42"/>
    <mergeCell ref="I43:J43"/>
    <mergeCell ref="B21:C21"/>
    <mergeCell ref="D21:L21"/>
    <mergeCell ref="K22:L22"/>
    <mergeCell ref="D17:L18"/>
    <mergeCell ref="B17:C17"/>
    <mergeCell ref="L13:L16"/>
    <mergeCell ref="B19:B20"/>
    <mergeCell ref="B22:B23"/>
    <mergeCell ref="C25:D25"/>
    <mergeCell ref="E25:E26"/>
    <mergeCell ref="H14:J16"/>
    <mergeCell ref="K14:K16"/>
    <mergeCell ref="C16:D16"/>
    <mergeCell ref="B14:B16"/>
    <mergeCell ref="K19:L19"/>
    <mergeCell ref="B13:E13"/>
    <mergeCell ref="G13:K13"/>
    <mergeCell ref="F13:F16"/>
    <mergeCell ref="A2:A62"/>
    <mergeCell ref="E2:G2"/>
    <mergeCell ref="B2:D2"/>
    <mergeCell ref="H2:L2"/>
    <mergeCell ref="A1:L1"/>
    <mergeCell ref="M1:M62"/>
    <mergeCell ref="A63:M63"/>
    <mergeCell ref="B7:L7"/>
    <mergeCell ref="B56:J56"/>
    <mergeCell ref="B9:C9"/>
    <mergeCell ref="D11:L11"/>
    <mergeCell ref="B10:C10"/>
    <mergeCell ref="B8:C8"/>
    <mergeCell ref="D8:L8"/>
    <mergeCell ref="D9:L9"/>
    <mergeCell ref="D10:L10"/>
    <mergeCell ref="K23:L23"/>
    <mergeCell ref="C15:D15"/>
    <mergeCell ref="B3:L3"/>
    <mergeCell ref="B5:L5"/>
    <mergeCell ref="B6:C6"/>
    <mergeCell ref="D6:L6"/>
    <mergeCell ref="K20:L20"/>
    <mergeCell ref="C14:D14"/>
    <mergeCell ref="B12:L12"/>
    <mergeCell ref="G14:G16"/>
    <mergeCell ref="B18:C18"/>
    <mergeCell ref="K4:L4"/>
    <mergeCell ref="K40:L57"/>
    <mergeCell ref="B25:B26"/>
    <mergeCell ref="L59:L62"/>
    <mergeCell ref="H57:I57"/>
    <mergeCell ref="B57:G57"/>
    <mergeCell ref="B55:J55"/>
    <mergeCell ref="B58:L58"/>
    <mergeCell ref="B62:K62"/>
    <mergeCell ref="C60:H61"/>
    <mergeCell ref="J60:K61"/>
    <mergeCell ref="B37:B38"/>
    <mergeCell ref="B11:C11"/>
    <mergeCell ref="C4:J4"/>
    <mergeCell ref="B59:K59"/>
    <mergeCell ref="C40:J40"/>
    <mergeCell ref="B24:L24"/>
    <mergeCell ref="B39:L39"/>
    <mergeCell ref="B36:L36"/>
    <mergeCell ref="E42:F42"/>
    <mergeCell ref="E43:F43"/>
  </mergeCells>
  <dataValidations xWindow="489" yWindow="397" count="30">
    <dataValidation allowBlank="1" showInputMessage="1" showErrorMessage="1" promptTitle="Product Name/Material Name" prompt="Mention name of Material in this column_x000a_" sqref="D9:L9"/>
    <dataValidation allowBlank="1" showInputMessage="1" showErrorMessage="1" promptTitle="Test Name " prompt="Mention test name. i.e. Assay by HPLC" sqref="D10:L10"/>
    <dataValidation allowBlank="1" showInputMessage="1" showErrorMessage="1" promptTitle="Condition" prompt="Mention stability condition. i.e. 6 M, ACC, 12 M CRT etc. Mention NA if not applicable" sqref="C43 E43 G43 I43"/>
    <dataValidation allowBlank="1" showInputMessage="1" showErrorMessage="1" promptTitle="Raw data reference" prompt="Mention raw data reference if any. Mention NA if not aaplicable._x000a_" sqref="D11:L11"/>
    <dataValidation allowBlank="1" showInputMessage="1" showErrorMessage="1" prompt="Enter potency / purity in percentage_x000a_" sqref="E14"/>
    <dataValidation allowBlank="1" showInputMessage="1" showErrorMessage="1" prompt="Entre factor if any in multiplication. Mention 1 if not applicable." sqref="E15"/>
    <dataValidation allowBlank="1" showInputMessage="1" showErrorMessage="1" prompt="Entre factor if any in divison. Mention 1 if not applicable." sqref="E16"/>
    <dataValidation allowBlank="1" showInputMessage="1" showErrorMessage="1" prompt="Enter value of mL taken from first dilution. Enter 1 if not applicable. " sqref="E20 E23"/>
    <dataValidation allowBlank="1" showInputMessage="1" showErrorMessage="1" prompt="Enter value of second dilution. Enter 1 if not applicable. _x000a_" sqref="F20 F23"/>
    <dataValidation allowBlank="1" showInputMessage="1" showErrorMessage="1" prompt="Enter value of mL taken from second dilution. Enter 1 if not applicable." sqref="G20 G23"/>
    <dataValidation allowBlank="1" showInputMessage="1" showErrorMessage="1" prompt="Enter value of third dilution. Enter 1 if not applicable_x000a_" sqref="H20 H23"/>
    <dataValidation allowBlank="1" showInputMessage="1" showErrorMessage="1" prompt="Enter value of mL taken from third dilution. Enter 1 if not applicable." sqref="I20 I23"/>
    <dataValidation allowBlank="1" showInputMessage="1" showErrorMessage="1" prompt="Enter value of forth dilution. Enter 1 if not applicable" sqref="J20 J23"/>
    <dataValidation allowBlank="1" showInputMessage="1" showErrorMessage="1" prompt="Enter response (area). Keep blank if not applicable." sqref="C27:D32 F27:G32"/>
    <dataValidation allowBlank="1" showInputMessage="1" showErrorMessage="1" prompt="Enter value of first dilution. Enter 1 if not applicable" sqref="C38"/>
    <dataValidation allowBlank="1" showInputMessage="1" showErrorMessage="1" prompt="Enter mL taekn from first dilution. Enter 1 if not applicable" sqref="D38"/>
    <dataValidation allowBlank="1" showInputMessage="1" showErrorMessage="1" prompt="Enter value of second dilution. Enter 1 if not applicable" sqref="E38"/>
    <dataValidation allowBlank="1" showInputMessage="1" showErrorMessage="1" prompt="Enter mL taken from second dilution. Enter 1 if not applicable." sqref="F38"/>
    <dataValidation allowBlank="1" showInputMessage="1" showErrorMessage="1" prompt="Enter value of third dilution. Enter 1 if not applicable." sqref="G38"/>
    <dataValidation allowBlank="1" showInputMessage="1" showErrorMessage="1" prompt="Enter mL taken from third dilution. Enter 1 if not applicable. " sqref="H38"/>
    <dataValidation allowBlank="1" showInputMessage="1" showErrorMessage="1" prompt="Enter value of forth dilution. Enter 1 if not applicable." sqref="I38"/>
    <dataValidation allowBlank="1" showInputMessage="1" showErrorMessage="1" prompt="Enter first dilution. Enter 1 if not applicable." sqref="D20:D21 D23"/>
    <dataValidation allowBlank="1" showInputMessage="1" showErrorMessage="1" prompt="Enter weight of standrd in mg. Enter 1 if not applicable." sqref="C20 C23"/>
    <dataValidation allowBlank="1" showInputMessage="1" showErrorMessage="1" prompt="Ente A. R. number of sample. Keep blank if not applicable. " sqref="C41 E41 G41 I41"/>
    <dataValidation allowBlank="1" showInputMessage="1" showErrorMessage="1" prompt="Ente sample batch number of sample. Keep blank if not applicable. " sqref="C42 E42 G42 I42"/>
    <dataValidation allowBlank="1" showInputMessage="1" showErrorMessage="1" prompt="Enter sample weight in mg. Keep blank if not applicable. " sqref="E44 G44 C44 I44"/>
    <dataValidation allowBlank="1" showInputMessage="1" showErrorMessage="1" prompt="Enter response of sample. Keep blank if not applicable. " sqref="C49:C50 E49:E50 G49:G50 I49:I50"/>
    <dataValidation allowBlank="1" showInputMessage="1" showErrorMessage="1" prompt="Enter the name of standard used" sqref="B14:B16"/>
    <dataValidation allowBlank="1" showInputMessage="1" showErrorMessage="1" prompt="Eneter value in which rounding of area is required. i.e. in 0 for whole rounding, 3 for area in three digit, 4 for area in four digit. " sqref="F34:G34"/>
    <dataValidation allowBlank="1" showInputMessage="1" showErrorMessage="1" prompt="Enter value of % water or % LOD according to required digit. Keep blank if applicable." sqref="C45:C48 D45 G45:G48 E45:E48 H45 F45 I45:I48 J45"/>
  </dataValidations>
  <pageMargins left="0.55118110236220474" right="0.15748031496062992" top="0.74803149606299213" bottom="0.19685039370078741" header="0.43307086614173229" footer="0.19685039370078741"/>
  <pageSetup paperSize="9" scale="44" orientation="portrait" r:id="rId1"/>
  <headerFooter alignWithMargins="0">
    <oddFooter>&amp;C&amp;"Arial,Bold"&amp;14Page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Assay</vt:lpstr>
      <vt:lpstr>Assay!Print_Area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skodag</dc:creator>
  <cp:lastModifiedBy>ADMIN</cp:lastModifiedBy>
  <cp:lastPrinted>2026-03-28T07:12:52Z</cp:lastPrinted>
  <dcterms:created xsi:type="dcterms:W3CDTF">2011-07-07T12:18:52Z</dcterms:created>
  <dcterms:modified xsi:type="dcterms:W3CDTF">2026-04-10T09:55:24Z</dcterms:modified>
</cp:coreProperties>
</file>